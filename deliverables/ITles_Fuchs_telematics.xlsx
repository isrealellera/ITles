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Классы_машин" sheetId="2" state="visible" r:id="rId4"/>
    <sheet name="Интерфейсы" sheetId="3" state="visible" r:id="rId5"/>
    <sheet name="J1939_параметры" sheetId="4" state="visible" r:id="rId6"/>
    <sheet name="Оборудование" sheetId="5" state="visible" r:id="rId7"/>
    <sheet name="Протоколы" sheetId="6" state="visible" r:id="rId8"/>
    <sheet name="Связь" sheetId="7" state="visible" r:id="rId9"/>
    <sheet name="Трафик_расчёт" sheetId="8" state="visible" r:id="rId10"/>
    <sheet name="Хранилище_расчёт" sheetId="9" state="visible" r:id="rId11"/>
    <sheet name="Спрос_масла" sheetId="10" state="visible" r:id="rId12"/>
    <sheet name="Экономика" sheetId="11" state="visible" r:id="rId13"/>
    <sheet name="Сим_моточасы_пробег" sheetId="12" state="visible" r:id="rId14"/>
    <sheet name="Сим_связь" sheetId="13" state="visible" r:id="rId15"/>
    <sheet name="Сим_прогноз_ТО" sheetId="14" state="visible" r:id="rId16"/>
    <sheet name="Сим_варианты" sheetId="15" state="visible" r:id="rId17"/>
    <sheet name="E2E_Traccar" sheetId="16" state="visible" r:id="rId18"/>
    <sheet name="Риски" sheetId="17" state="visible" r:id="rId19"/>
    <sheet name="Дорожная_карта" sheetId="18" state="visible" r:id="rId20"/>
    <sheet name="Вопросы" sheetId="19" state="visible" r:id="rId21"/>
    <sheet name="Источники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<sst xmlns="http://schemas.openxmlformats.org/spreadsheetml/2006/main" count="1117" uniqueCount="784">
  <si>
    <t xml:space="preserve">ITles × FUCHS: телематика моточасов, пробега и местоположения спецтехники</t>
  </si>
  <si>
    <t xml:space="preserve">Назначение</t>
  </si>
  <si>
    <t xml:space="preserve">Табличные данные и расчёты к диздоку docs/design/DESIGN.md.</t>
  </si>
  <si>
    <t xml:space="preserve">Цвета</t>
  </si>
  <si>
    <t xml:space="preserve">Жёлтый — ввод; оранжевый — плейсхолдер (заменить данными OEM/FUCHS); зелёный — формула; голубой — результат стенда/модели.</t>
  </si>
  <si>
    <t xml:space="preserve">Статусы</t>
  </si>
  <si>
    <t xml:space="preserve">«подтверждено» — есть источник (лист «Источники»); «модель» — результат симуляции с допущениями; «проверить» — не подтверждено.</t>
  </si>
  <si>
    <t xml:space="preserve">Воспроизведение</t>
  </si>
  <si>
    <t xml:space="preserve">python scripts/run_scenarios.py; python scripts/traccar_e2e.py; python scripts/build_workbook.py</t>
  </si>
  <si>
    <t xml:space="preserve">Дата сборки</t>
  </si>
  <si>
    <t xml:space="preserve">2026-09-23</t>
  </si>
  <si>
    <t xml:space="preserve">Класс интеграции определяется экземпляром (двигатель, год, модификация), а не маркой. Коды классов — на листе «Интерфейсы».</t>
  </si>
  <si>
    <t xml:space="preserve">Сфера</t>
  </si>
  <si>
    <t xml:space="preserve">Класс машины</t>
  </si>
  <si>
    <t xml:space="preserve">Представительные модели в РФ</t>
  </si>
  <si>
    <t xml:space="preserve">Двигатель / управление</t>
  </si>
  <si>
    <t xml:space="preserve">Класс интеграции</t>
  </si>
  <si>
    <t xml:space="preserve">Источник моточасов</t>
  </si>
  <si>
    <t xml:space="preserve">Источник пробега</t>
  </si>
  <si>
    <t xml:space="preserve">Рекомендуемое подключение</t>
  </si>
  <si>
    <t xml:space="preserve">Уверенность</t>
  </si>
  <si>
    <t xml:space="preserve">Источник</t>
  </si>
  <si>
    <t xml:space="preserve">Поле</t>
  </si>
  <si>
    <t xml:space="preserve">Трактор тяжёлый колёсный (5–8 кл.)</t>
  </si>
  <si>
    <t xml:space="preserve">Кировец К-7М, К-525; RSM 2375/3575; МТЗ-3522</t>
  </si>
  <si>
    <t xml:space="preserve">Электронный (ТМЗ, ЯМЗ-536, Cummins), J1939</t>
  </si>
  <si>
    <t xml:space="preserve">A; F (Кировец-Агромонитор, Агротроник)</t>
  </si>
  <si>
    <t xml:space="preserve">CAN, SPN 247</t>
  </si>
  <si>
    <t xml:space="preserve">GNSS (CAN-одометр не гарантирован)</t>
  </si>
  <si>
    <t xml:space="preserve">Трекер с CAN через бесконтактный считыватель; альтернатива — API OEM</t>
  </si>
  <si>
    <t xml:space="preserve">средняя</t>
  </si>
  <si>
    <t xml:space="preserve">S15, S16</t>
  </si>
  <si>
    <t xml:space="preserve">Трактор старого парка</t>
  </si>
  <si>
    <t xml:space="preserve">МТЗ-80/82.1 (Д-243), ЮМЗ-6, Т-40, Т-150К (ЯМЗ-238), ДТ-75</t>
  </si>
  <si>
    <t xml:space="preserve">Механический ТНВД, ЭБУ и CAN нет</t>
  </si>
  <si>
    <t xml:space="preserve">E</t>
  </si>
  <si>
    <t xml:space="preserve">D+ или порог напряжения + сверка со счётчиком (фото)</t>
  </si>
  <si>
    <t xml:space="preserve">GNSS</t>
  </si>
  <si>
    <t xml:space="preserve">Трекер без CAN, вход D+, стартовое показание счётчика</t>
  </si>
  <si>
    <t xml:space="preserve">высокая</t>
  </si>
  <si>
    <t xml:space="preserve">S33</t>
  </si>
  <si>
    <t xml:space="preserve">Трактор средний современный</t>
  </si>
  <si>
    <t xml:space="preserve">МТЗ-1221/1523 (Д-260.1), МТЗ-2022</t>
  </si>
  <si>
    <t xml:space="preserve">Зависит от модификации: механика или электроника</t>
  </si>
  <si>
    <t xml:space="preserve">A или E — проверить экземпляр</t>
  </si>
  <si>
    <t xml:space="preserve">CAN или D+</t>
  </si>
  <si>
    <t xml:space="preserve">Осмотр при монтаже: есть ли ЭБУ двигателя</t>
  </si>
  <si>
    <t xml:space="preserve">проверить</t>
  </si>
  <si>
    <t xml:space="preserve">S19</t>
  </si>
  <si>
    <t xml:space="preserve">Тракторы китайских марок</t>
  </si>
  <si>
    <t xml:space="preserve">Lovol, YTO, Weichai, Zoomlion</t>
  </si>
  <si>
    <t xml:space="preserve">Зависит от двигателя (Weichai/Perkins/Yuchai)</t>
  </si>
  <si>
    <t xml:space="preserve">A или E</t>
  </si>
  <si>
    <t xml:space="preserve">Проверка экземпляра</t>
  </si>
  <si>
    <t xml:space="preserve">—</t>
  </si>
  <si>
    <t xml:space="preserve">Зерноуборочный комбайн</t>
  </si>
  <si>
    <t xml:space="preserve">Ростсельмаш ACROS/TORUM/RSM 161, Claas (Краснодар), Гомсельмаш</t>
  </si>
  <si>
    <t xml:space="preserve">Электронный, CAN</t>
  </si>
  <si>
    <t xml:space="preserve">A; F (РСМ Агротроник, CLAAS Telematics)</t>
  </si>
  <si>
    <t xml:space="preserve">CAN или API OEM</t>
  </si>
  <si>
    <t xml:space="preserve">CAN-считыватель с программой модели либо интеграция с OEM</t>
  </si>
  <si>
    <t xml:space="preserve">S16</t>
  </si>
  <si>
    <t xml:space="preserve">Навесные и прицепные орудия (ISOBUS)</t>
  </si>
  <si>
    <t xml:space="preserve">Сеялки, опрыскиватели, пресс-подборщики</t>
  </si>
  <si>
    <t xml:space="preserve">Нет своего ДВС</t>
  </si>
  <si>
    <t xml:space="preserve">C — моточасы не применимы</t>
  </si>
  <si>
    <t xml:space="preserve">Не подключаются отдельно; учёт через трактор</t>
  </si>
  <si>
    <t xml:space="preserve">S5</t>
  </si>
  <si>
    <t xml:space="preserve">Лес</t>
  </si>
  <si>
    <t xml:space="preserve">Харвестер</t>
  </si>
  <si>
    <t xml:space="preserve">Амкодор 2551/2561, Ponsse, John Deere 1270/1470, Komatsu 931/951</t>
  </si>
  <si>
    <t xml:space="preserve">Электронный (Cummins, Mercedes, Deere), J1939</t>
  </si>
  <si>
    <t xml:space="preserve">A/B; G (StanForD 2010)</t>
  </si>
  <si>
    <t xml:space="preserve">CAN (при необходимости активный запрос PGN 65253) или файл StanForD</t>
  </si>
  <si>
    <t xml:space="preserve">GNSS (малозначим)</t>
  </si>
  <si>
    <t xml:space="preserve">Трекер с CAN и большим архивом; выгрузка на волоке/через спутник</t>
  </si>
  <si>
    <t xml:space="preserve">S18</t>
  </si>
  <si>
    <t xml:space="preserve">Форвардер</t>
  </si>
  <si>
    <t xml:space="preserve">Амкодор 2661/2662, Ponsse Buffalo/Elk, John Deere 1110/1210</t>
  </si>
  <si>
    <t xml:space="preserve">Электронный, J1939</t>
  </si>
  <si>
    <t xml:space="preserve">A/B; G</t>
  </si>
  <si>
    <t xml:space="preserve">CAN</t>
  </si>
  <si>
    <t xml:space="preserve">Как харвестер</t>
  </si>
  <si>
    <t xml:space="preserve">Трелёвочный трактор (скиддер)</t>
  </si>
  <si>
    <t xml:space="preserve">ТЛТ-100, ТТ-4М (старый парк), Амкодор 2243</t>
  </si>
  <si>
    <t xml:space="preserve">Старые — механика, новые — электроника</t>
  </si>
  <si>
    <t xml:space="preserve">E или A</t>
  </si>
  <si>
    <t xml:space="preserve">D+ или CAN</t>
  </si>
  <si>
    <t xml:space="preserve">Лес/дорога</t>
  </si>
  <si>
    <t xml:space="preserve">Лесовоз с манипулятором</t>
  </si>
  <si>
    <t xml:space="preserve">КАМАЗ-43118/65222, Урал-4320/NEXT, МАЗ-6317, Sitrak, Shacman, Howo</t>
  </si>
  <si>
    <t xml:space="preserve">Евро-4/5 — электроника (J1939/FMS); старые — механика</t>
  </si>
  <si>
    <t xml:space="preserve">A (FMS) или E</t>
  </si>
  <si>
    <t xml:space="preserve">CAN-одометр (PGN 65217/65248)</t>
  </si>
  <si>
    <t xml:space="preserve">Трекер с CAN; учесть обязательный ГЛОНАСС-терминал для ФГИС ЛК</t>
  </si>
  <si>
    <t xml:space="preserve">S23, S24</t>
  </si>
  <si>
    <t xml:space="preserve">Лес/склад</t>
  </si>
  <si>
    <t xml:space="preserve">Погрузчик на лесоскладе</t>
  </si>
  <si>
    <t xml:space="preserve">Амкодор 352, LiuGong, SDLG</t>
  </si>
  <si>
    <t xml:space="preserve">Электронный у новых</t>
  </si>
  <si>
    <t xml:space="preserve">Трекер с CAN</t>
  </si>
  <si>
    <t xml:space="preserve">Карьер</t>
  </si>
  <si>
    <t xml:space="preserve">Карьерный самосвал</t>
  </si>
  <si>
    <t xml:space="preserve">БелАЗ-7547/7555/7513, XCMG XDE, SANY SKT, Tonly</t>
  </si>
  <si>
    <t xml:space="preserve">Электронный (Cummins QSK/QST, MTU, Weichai), J1939</t>
  </si>
  <si>
    <t xml:space="preserve">A</t>
  </si>
  <si>
    <t xml:space="preserve">CAN-одометр</t>
  </si>
  <si>
    <t xml:space="preserve">Трекер с CAN; совместимость с диспетчерской системой карьера</t>
  </si>
  <si>
    <t xml:space="preserve">S32</t>
  </si>
  <si>
    <t xml:space="preserve">Экскаватор гидравлический</t>
  </si>
  <si>
    <t xml:space="preserve">SANY SY500H/SY750H, XCMG XE490/XE700, парк Komatsu/Hitachi</t>
  </si>
  <si>
    <t xml:space="preserve">A; F (облака OEM)</t>
  </si>
  <si>
    <t xml:space="preserve">Не применим (гусеницы): показывать только моточасы</t>
  </si>
  <si>
    <t xml:space="preserve">Трекер с CAN; фильтр ложного пробега от поворота кабины</t>
  </si>
  <si>
    <t xml:space="preserve">Экскаватор электрический канатный (ЭКГ)</t>
  </si>
  <si>
    <t xml:space="preserve">ИЗ-КАРТЭКС ЭКГ-10/12/18, Уралмаш ЭКГ</t>
  </si>
  <si>
    <t xml:space="preserve">Электропривод, ДВС нет</t>
  </si>
  <si>
    <t xml:space="preserve">Особый случай</t>
  </si>
  <si>
    <t xml:space="preserve">Наработка привода (сигнал контроллера)</t>
  </si>
  <si>
    <t xml:space="preserve">Отдельная методика; смазка редукторов по наработке привода</t>
  </si>
  <si>
    <t xml:space="preserve">высокая (класс)</t>
  </si>
  <si>
    <t xml:space="preserve">Бульдозер</t>
  </si>
  <si>
    <t xml:space="preserve">ЧЕТРА Т-11/Т-25/Т-35, ДСТ-Урал, Shantui SD22/SD32</t>
  </si>
  <si>
    <t xml:space="preserve">ЯМЗ-236 (механика) или Cummins QSB/QSK (электроника)</t>
  </si>
  <si>
    <t xml:space="preserve">Не применим</t>
  </si>
  <si>
    <t xml:space="preserve">Проверка исполнения</t>
  </si>
  <si>
    <t xml:space="preserve">S20</t>
  </si>
  <si>
    <t xml:space="preserve">Буровой станок</t>
  </si>
  <si>
    <t xml:space="preserve">СБШ-250 (электрический), парк Sandvik/Epiroc, китайские</t>
  </si>
  <si>
    <t xml:space="preserve">Электро или дизель</t>
  </si>
  <si>
    <t xml:space="preserve">A, E или особый случай</t>
  </si>
  <si>
    <t xml:space="preserve">По исполнению</t>
  </si>
  <si>
    <t xml:space="preserve">Карьер/стройка</t>
  </si>
  <si>
    <t xml:space="preserve">Фронтальный погрузчик</t>
  </si>
  <si>
    <t xml:space="preserve">SDLG L968, LiuGong 856H/890H, XCMG LW500/LW800, SANY SW956</t>
  </si>
  <si>
    <t xml:space="preserve">Электронный у большинства новых</t>
  </si>
  <si>
    <t xml:space="preserve">GNSS/CAN</t>
  </si>
  <si>
    <t xml:space="preserve">Стройка</t>
  </si>
  <si>
    <t xml:space="preserve">Экскаватор 20–30 т</t>
  </si>
  <si>
    <t xml:space="preserve">SANY SY215C, XCMG XE215, LiuGong 922F, Zoomlion, ТВЭКС ЕК-270</t>
  </si>
  <si>
    <t xml:space="preserve">A; F</t>
  </si>
  <si>
    <t xml:space="preserve">Экскаватор-погрузчик</t>
  </si>
  <si>
    <t xml:space="preserve">ЭЛАЗ BL880, Hidromek, Mst, парк JCB/Terex</t>
  </si>
  <si>
    <t xml:space="preserve">Зависит от модели</t>
  </si>
  <si>
    <t xml:space="preserve">Дорога</t>
  </si>
  <si>
    <t xml:space="preserve">Автогрейдер</t>
  </si>
  <si>
    <t xml:space="preserve">ДЗ-98 (Брянский арсенал), XCMG GR215, SANY</t>
  </si>
  <si>
    <t xml:space="preserve">Зависит от двигателя</t>
  </si>
  <si>
    <t xml:space="preserve">Каток дорожный</t>
  </si>
  <si>
    <t xml:space="preserve">Раскат, XCMG, SANY, парк Bomag</t>
  </si>
  <si>
    <t xml:space="preserve">Автокран на шасси</t>
  </si>
  <si>
    <t xml:space="preserve">Галичанин, Ивановец, Клинцы на КАМАЗ/МАЗ; XCMG</t>
  </si>
  <si>
    <t xml:space="preserve">Шасси Евро-4/5 — J1939</t>
  </si>
  <si>
    <t xml:space="preserve">A (шасси)</t>
  </si>
  <si>
    <t xml:space="preserve">CAN шасси (+ наработка крановой установки)</t>
  </si>
  <si>
    <t xml:space="preserve">CAN шасси</t>
  </si>
  <si>
    <t xml:space="preserve">Трекер на шасси; наработку КМУ — отдельным входом</t>
  </si>
  <si>
    <t xml:space="preserve">Дорога/карьер</t>
  </si>
  <si>
    <t xml:space="preserve">Самосвал дорожный</t>
  </si>
  <si>
    <t xml:space="preserve">КАМАЗ-65115/6520, МАЗ-6501, Shacman, Howo, Sitrak</t>
  </si>
  <si>
    <t xml:space="preserve">Евро-4/5 — J1939/FMS</t>
  </si>
  <si>
    <t xml:space="preserve">S17</t>
  </si>
  <si>
    <t xml:space="preserve">Прочее</t>
  </si>
  <si>
    <t xml:space="preserve">Стационарные ДВС (генераторы, насосы)</t>
  </si>
  <si>
    <t xml:space="preserve">ДЭС на контроллерах DEIF/ComAp</t>
  </si>
  <si>
    <t xml:space="preserve">J1939 от контроллера</t>
  </si>
  <si>
    <t xml:space="preserve">Трекер с CAN или Modbus от контроллера</t>
  </si>
  <si>
    <t xml:space="preserve">Любая</t>
  </si>
  <si>
    <t xml:space="preserve">Машина с чужим трекером</t>
  </si>
  <si>
    <t xml:space="preserve">Парк на Wialon, Omnicomm, СКАУТ, АвтоГРАФ</t>
  </si>
  <si>
    <t xml:space="preserve">Любой</t>
  </si>
  <si>
    <t xml:space="preserve">H (ретрансляция)</t>
  </si>
  <si>
    <t xml:space="preserve">Параметр трекера</t>
  </si>
  <si>
    <t xml:space="preserve">Ретрансляция EGTS/Wialon IPS на наш шлюз без монтажа</t>
  </si>
  <si>
    <t xml:space="preserve">высокая (механизм)</t>
  </si>
  <si>
    <t xml:space="preserve">S2, S8</t>
  </si>
  <si>
    <t xml:space="preserve">Машина без трекера (временно)</t>
  </si>
  <si>
    <t xml:space="preserve">I (ручной ввод)</t>
  </si>
  <si>
    <t xml:space="preserve">Фото счётчика + ввод механиком</t>
  </si>
  <si>
    <t xml:space="preserve">Фото одометра</t>
  </si>
  <si>
    <t xml:space="preserve">Мобильное приложение, QR на машине</t>
  </si>
  <si>
    <t xml:space="preserve">Код</t>
  </si>
  <si>
    <t xml:space="preserve">Класс</t>
  </si>
  <si>
    <t xml:space="preserve">Как берём данные</t>
  </si>
  <si>
    <t xml:space="preserve">Моточасы</t>
  </si>
  <si>
    <t xml:space="preserve">Пробег</t>
  </si>
  <si>
    <t xml:space="preserve">Местоположение</t>
  </si>
  <si>
    <t xml:space="preserve">Оборудование</t>
  </si>
  <si>
    <t xml:space="preserve">Риски</t>
  </si>
  <si>
    <t xml:space="preserve">Что проверено на стенде</t>
  </si>
  <si>
    <t xml:space="preserve">J1939, двигатель транслирует HOURS</t>
  </si>
  <si>
    <t xml:space="preserve">Бесконтактный считыватель на CAN (без передачи в шину) или прямое подключение к диагностическому разъёму</t>
  </si>
  <si>
    <t xml:space="preserve">SPN 247, 0,05 ч, совпадает с приборной панелью</t>
  </si>
  <si>
    <t xml:space="preserve">SPN 245/917 при наличии, иначе GNSS</t>
  </si>
  <si>
    <t xml:space="preserve">Трекер GNSS</t>
  </si>
  <si>
    <t xml:space="preserve">Трекер с CAN (Galileosky 10 Plus, Навтелеком SIGNAL) ± CAN-LOG</t>
  </si>
  <si>
    <t xml:space="preserve">Проприетарные ID; отключение шины при монтаже недопустимо</t>
  </si>
  <si>
    <t xml:space="preserve">Смоделировано: кодек J1939 + E2E через Traccar</t>
  </si>
  <si>
    <t xml:space="preserve">B</t>
  </si>
  <si>
    <t xml:space="preserve">J1939, HOURS только по запросу</t>
  </si>
  <si>
    <t xml:space="preserve">Трекер отправляет Request PGN 59904 → ЭБУ отвечает PGN 65253</t>
  </si>
  <si>
    <t xml:space="preserve">SPN 247</t>
  </si>
  <si>
    <t xml:space="preserve">Как A</t>
  </si>
  <si>
    <t xml:space="preserve">Трекер</t>
  </si>
  <si>
    <t xml:space="preserve">Трекер с поддержкой активных запросов</t>
  </si>
  <si>
    <t xml:space="preserve">Трекер становится активным участником шины: согласовать с владельцем, проверить адрес</t>
  </si>
  <si>
    <t xml:space="preserve">Смоделировано: без запроса 0 % записей с моточасами, с запросом — есть</t>
  </si>
  <si>
    <t xml:space="preserve">C</t>
  </si>
  <si>
    <t xml:space="preserve">ISOBUS (ISO 11783)</t>
  </si>
  <si>
    <t xml:space="preserve">Шина трактора/орудия; моточасы трактора — те же PGN J1939</t>
  </si>
  <si>
    <t xml:space="preserve">DDI 492/ SPN 247 трактора</t>
  </si>
  <si>
    <t xml:space="preserve">Орудия без ДВС моточасов не имеют</t>
  </si>
  <si>
    <t xml:space="preserve">Не моделировалось отдельно</t>
  </si>
  <si>
    <t xml:space="preserve">D</t>
  </si>
  <si>
    <t xml:space="preserve">Проприетарный CAN (не J1939)</t>
  </si>
  <si>
    <t xml:space="preserve">Считыватель с базой программ под модель (CAN-LOG B44)</t>
  </si>
  <si>
    <t xml:space="preserve">Параметр считывателя</t>
  </si>
  <si>
    <t xml:space="preserve">CAN-LOG B44 + трекер</t>
  </si>
  <si>
    <t xml:space="preserve">Поддержка конкретной модели — только по списку производителя</t>
  </si>
  <si>
    <t xml:space="preserve">Не моделировалось (нужна спецификация)</t>
  </si>
  <si>
    <t xml:space="preserve">CAN нет (механический двигатель)</t>
  </si>
  <si>
    <t xml:space="preserve">Дискретный вход D+/W генератора, порог напряжения бортсети, вибрация</t>
  </si>
  <si>
    <t xml:space="preserve">Счётчик трекера + стартовое показание приборного счётчика</t>
  </si>
  <si>
    <t xml:space="preserve">Любой трекер с входами</t>
  </si>
  <si>
    <t xml:space="preserve">Ошибки монтажника (порог 12/24 В), дрейф; нужна периодическая сверка</t>
  </si>
  <si>
    <t xml:space="preserve">Смоделировано: зажигание +4,7…+5,7 %, D+/порог −0,02…−0,06 %</t>
  </si>
  <si>
    <t xml:space="preserve">F</t>
  </si>
  <si>
    <t xml:space="preserve">Облако производителя</t>
  </si>
  <si>
    <t xml:space="preserve">API OEM: РСМ Агротроник, ИТИС-КАМАЗ, Кировец-Агромонитор, облака SANY/XCMG, ISO 15143-3</t>
  </si>
  <si>
    <t xml:space="preserve">Из API</t>
  </si>
  <si>
    <t xml:space="preserve">Договор с OEM</t>
  </si>
  <si>
    <t xml:space="preserve">Доступ по договору; доступность западных облаков в РФ не гарантирована</t>
  </si>
  <si>
    <t xml:space="preserve">Не моделировалось</t>
  </si>
  <si>
    <t xml:space="preserve">G</t>
  </si>
  <si>
    <t xml:space="preserve">Файлы StanForD 2010 (лес)</t>
  </si>
  <si>
    <t xml:space="preserve">Выгрузка файлов бортового компьютера харвестера/форвардера</t>
  </si>
  <si>
    <t xml:space="preserve">Файлы операционного мониторинга (проверить состав)</t>
  </si>
  <si>
    <t xml:space="preserve">Процедура выгрузки + импорт</t>
  </si>
  <si>
    <t xml:space="preserve">Нерегулярность, зависимость от оператора</t>
  </si>
  <si>
    <t xml:space="preserve">H</t>
  </si>
  <si>
    <t xml:space="preserve">Ретрансляция с чужой платформы</t>
  </si>
  <si>
    <t xml:space="preserve">EGTS / Wialon Retranslator / Wialon IPS на наш шлюз</t>
  </si>
  <si>
    <t xml:space="preserve">Параметр трекера (имена/масштаб — по профилю)</t>
  </si>
  <si>
    <t xml:space="preserve">Да</t>
  </si>
  <si>
    <t xml:space="preserve">Настройка ретранслятора у клиента</t>
  </si>
  <si>
    <t xml:space="preserve">EGTS в Traccar 6.15 теряет счётчики (моточасы) — нужна доработка</t>
  </si>
  <si>
    <t xml:space="preserve">Смоделировано: пробел EGTS подтверждён</t>
  </si>
  <si>
    <t xml:space="preserve">I</t>
  </si>
  <si>
    <t xml:space="preserve">Ручной ввод</t>
  </si>
  <si>
    <t xml:space="preserve">Механик фотографирует счётчик в приложении, QR на машине</t>
  </si>
  <si>
    <t xml:space="preserve">Показание счётчика</t>
  </si>
  <si>
    <t xml:space="preserve">Показание одометра</t>
  </si>
  <si>
    <t xml:space="preserve">GPS телефона в момент ввода</t>
  </si>
  <si>
    <t xml:space="preserve">Мобильное приложение</t>
  </si>
  <si>
    <t xml:space="preserve">Редкие данные, человеческий фактор</t>
  </si>
  <si>
    <t xml:space="preserve">Значения 0xFE… = ошибка, 0xFF… = нет данных: в платформе это null, а не число. Байты — little-endian.</t>
  </si>
  <si>
    <t xml:space="preserve">PGN</t>
  </si>
  <si>
    <t xml:space="preserve">PGN hex</t>
  </si>
  <si>
    <t xml:space="preserve">Сообщение</t>
  </si>
  <si>
    <t xml:space="preserve">SPN</t>
  </si>
  <si>
    <t xml:space="preserve">Параметр</t>
  </si>
  <si>
    <t xml:space="preserve">Байты</t>
  </si>
  <si>
    <t xml:space="preserve">Разрешение</t>
  </si>
  <si>
    <t xml:space="preserve">Смещение</t>
  </si>
  <si>
    <t xml:space="preserve">Ед.</t>
  </si>
  <si>
    <t xml:space="preserve">Период</t>
  </si>
  <si>
    <t xml:space="preserve">Статус</t>
  </si>
  <si>
    <t xml:space="preserve">0xF004</t>
  </si>
  <si>
    <t xml:space="preserve">EEC1</t>
  </si>
  <si>
    <t xml:space="preserve">Engine Speed</t>
  </si>
  <si>
    <t xml:space="preserve">4–5</t>
  </si>
  <si>
    <t xml:space="preserve">rpm</t>
  </si>
  <si>
    <t xml:space="preserve">engine-speed dependent (10-100 ms)</t>
  </si>
  <si>
    <t xml:space="preserve">подтверждено: пример CSS Electronics (S3) в тестах</t>
  </si>
  <si>
    <t xml:space="preserve">0xFEF1</t>
  </si>
  <si>
    <t xml:space="preserve">CCVS</t>
  </si>
  <si>
    <t xml:space="preserve">Wheel-Based Vehicle Speed</t>
  </si>
  <si>
    <t xml:space="preserve">2–3</t>
  </si>
  <si>
    <t xml:space="preserve">km/h</t>
  </si>
  <si>
    <t xml:space="preserve">100 ms</t>
  </si>
  <si>
    <t xml:space="preserve">по публичным таблицам J1939-71 (S4); стенд: кодирование ↔ декодирование</t>
  </si>
  <si>
    <t xml:space="preserve">0xFEE5</t>
  </si>
  <si>
    <t xml:space="preserve">HOURS</t>
  </si>
  <si>
    <t xml:space="preserve">Engine Total Hours of Operation</t>
  </si>
  <si>
    <t xml:space="preserve">1–4</t>
  </si>
  <si>
    <t xml:space="preserve">h</t>
  </si>
  <si>
    <t xml:space="preserve">on request</t>
  </si>
  <si>
    <t xml:space="preserve">подтверждено: ISOBUS DDI (S5), FMS (S4)</t>
  </si>
  <si>
    <t xml:space="preserve">Engine Total Revolutions</t>
  </si>
  <si>
    <t xml:space="preserve">5–8</t>
  </si>
  <si>
    <t xml:space="preserve">r</t>
  </si>
  <si>
    <t xml:space="preserve">0xFEE0</t>
  </si>
  <si>
    <t xml:space="preserve">VD</t>
  </si>
  <si>
    <t xml:space="preserve">Trip Distance</t>
  </si>
  <si>
    <t xml:space="preserve">km</t>
  </si>
  <si>
    <t xml:space="preserve">Total Vehicle Distance</t>
  </si>
  <si>
    <t xml:space="preserve">0xFEC1</t>
  </si>
  <si>
    <t xml:space="preserve">VDHR</t>
  </si>
  <si>
    <t xml:space="preserve">High Resolution Total Vehicle Distance</t>
  </si>
  <si>
    <t xml:space="preserve">m</t>
  </si>
  <si>
    <t xml:space="preserve">1 s</t>
  </si>
  <si>
    <t xml:space="preserve">High Resolution Trip Distance</t>
  </si>
  <si>
    <t xml:space="preserve">0xFEE9</t>
  </si>
  <si>
    <t xml:space="preserve">LFC</t>
  </si>
  <si>
    <t xml:space="preserve">Engine Trip Fuel</t>
  </si>
  <si>
    <t xml:space="preserve">L</t>
  </si>
  <si>
    <t xml:space="preserve">Engine Total Fuel Used</t>
  </si>
  <si>
    <t xml:space="preserve">0xFEF2</t>
  </si>
  <si>
    <t xml:space="preserve">LFE</t>
  </si>
  <si>
    <t xml:space="preserve">Engine Fuel Rate</t>
  </si>
  <si>
    <t xml:space="preserve">1–2</t>
  </si>
  <si>
    <t xml:space="preserve">L/h</t>
  </si>
  <si>
    <t xml:space="preserve">0xFEFC</t>
  </si>
  <si>
    <t xml:space="preserve">DD</t>
  </si>
  <si>
    <t xml:space="preserve">Fuel Level 1</t>
  </si>
  <si>
    <t xml:space="preserve">2–2</t>
  </si>
  <si>
    <t xml:space="preserve">%</t>
  </si>
  <si>
    <t xml:space="preserve">0xFEEE</t>
  </si>
  <si>
    <t xml:space="preserve">ET1</t>
  </si>
  <si>
    <t xml:space="preserve">Engine Coolant Temperature</t>
  </si>
  <si>
    <t xml:space="preserve">1–1</t>
  </si>
  <si>
    <t xml:space="preserve">degC</t>
  </si>
  <si>
    <t xml:space="preserve">0xFEEF</t>
  </si>
  <si>
    <t xml:space="preserve">EFL/P1</t>
  </si>
  <si>
    <t xml:space="preserve">Engine Oil Pressure</t>
  </si>
  <si>
    <t xml:space="preserve">4–4</t>
  </si>
  <si>
    <t xml:space="preserve">kPa</t>
  </si>
  <si>
    <t xml:space="preserve">500 ms</t>
  </si>
  <si>
    <t xml:space="preserve">0xEA00</t>
  </si>
  <si>
    <t xml:space="preserve">RQST</t>
  </si>
  <si>
    <t xml:space="preserve">Request PGN (3 байта: номер запрашиваемого PGN)</t>
  </si>
  <si>
    <t xml:space="preserve">1–3</t>
  </si>
  <si>
    <t xml:space="preserve">по событию</t>
  </si>
  <si>
    <t xml:space="preserve">подтверждено (S3); стенд: активный запрос HOURS</t>
  </si>
  <si>
    <t xml:space="preserve">0xFEC0</t>
  </si>
  <si>
    <t xml:space="preserve">SERV</t>
  </si>
  <si>
    <t xml:space="preserve">Service Distance (сервисный пробег ЭБУ)</t>
  </si>
  <si>
    <t xml:space="preserve">масштаб не подтверждён публично; не используется</t>
  </si>
  <si>
    <t xml:space="preserve">Цены — ориентиры из открытых магазинов на указанную дату; для бюджета нужны КП.</t>
  </si>
  <si>
    <t xml:space="preserve">Изделие</t>
  </si>
  <si>
    <t xml:space="preserve">Тип</t>
  </si>
  <si>
    <t xml:space="preserve">CAN / J1939</t>
  </si>
  <si>
    <t xml:space="preserve">Интерфейсы</t>
  </si>
  <si>
    <t xml:space="preserve">Архив</t>
  </si>
  <si>
    <t xml:space="preserve">Протокол на сервер</t>
  </si>
  <si>
    <t xml:space="preserve">Цена</t>
  </si>
  <si>
    <t xml:space="preserve">Комментарий</t>
  </si>
  <si>
    <t xml:space="preserve">Galileosky 10 Plus (Int/Ext)</t>
  </si>
  <si>
    <t xml:space="preserve">Да: J1939/FMS, сканер 13 000+ параметров</t>
  </si>
  <si>
    <t xml:space="preserve">RS-485/232, 1-Wire, BT 5.0</t>
  </si>
  <si>
    <t xml:space="preserve">170 000 точек (eMMC до 2,5 млн)</t>
  </si>
  <si>
    <t xml:space="preserve">Galileosky (Traccar: galileo)</t>
  </si>
  <si>
    <t xml:space="preserve">17 130–17 840 ₽ (14.11.2024, ориентир)</t>
  </si>
  <si>
    <t xml:space="preserve">Российское производство (Пермь)</t>
  </si>
  <si>
    <t xml:space="preserve">S9</t>
  </si>
  <si>
    <t xml:space="preserve">Навтелеком SIGNAL S-2653</t>
  </si>
  <si>
    <t xml:space="preserve">Да: 2×CAN, J1939 (FMS)</t>
  </si>
  <si>
    <t xml:space="preserve">RS-232/485, 1-Wire, BT 4.0</t>
  </si>
  <si>
    <t xml:space="preserve">SD до 32 ГБ</t>
  </si>
  <si>
    <t xml:space="preserve">NTCB/FLEX (Traccar: navis)</t>
  </si>
  <si>
    <t xml:space="preserve">12 700 ₽ (ориентир)</t>
  </si>
  <si>
    <t xml:space="preserve">Российское производство</t>
  </si>
  <si>
    <t xml:space="preserve">S10</t>
  </si>
  <si>
    <t xml:space="preserve">Навтелеком SMART S-2435</t>
  </si>
  <si>
    <t xml:space="preserve">Да: 2×CAN</t>
  </si>
  <si>
    <t xml:space="preserve">2G, встроенный АКБ</t>
  </si>
  <si>
    <t xml:space="preserve">н/д</t>
  </si>
  <si>
    <t xml:space="preserve">NTCB/FLEX</t>
  </si>
  <si>
    <t xml:space="preserve">8 500 ₽ (ориентир)</t>
  </si>
  <si>
    <t xml:space="preserve">Бюджетный вариант</t>
  </si>
  <si>
    <t xml:space="preserve">CAN-LOG B34 (Фарватер)</t>
  </si>
  <si>
    <t xml:space="preserve">Бесконтактный CAN-считыватель</t>
  </si>
  <si>
    <t xml:space="preserve">Легковые, грузовые, автобусы</t>
  </si>
  <si>
    <t xml:space="preserve">Выход RS-232</t>
  </si>
  <si>
    <t xml:space="preserve">Протокол CAN-LOG (читает трекер)</t>
  </si>
  <si>
    <t xml:space="preserve">10 000 ₽ (ориентир)</t>
  </si>
  <si>
    <t xml:space="preserve">Спецтехника — в B44</t>
  </si>
  <si>
    <t xml:space="preserve">S11</t>
  </si>
  <si>
    <t xml:space="preserve">CAN-LOG B44 (Фарватер)</t>
  </si>
  <si>
    <t xml:space="preserve">+ с/х, строительная, лесная техника</t>
  </si>
  <si>
    <t xml:space="preserve">Протокол CAN-LOG</t>
  </si>
  <si>
    <t xml:space="preserve">по запросу</t>
  </si>
  <si>
    <t xml:space="preserve">Ключевой для машин с проприетарным CAN</t>
  </si>
  <si>
    <t xml:space="preserve">S12</t>
  </si>
  <si>
    <t xml:space="preserve">Teltonika FMB/FMC</t>
  </si>
  <si>
    <t xml:space="preserve">Codec 8E</t>
  </si>
  <si>
    <t xml:space="preserve">Официальные поставки в РФ прекращены в 2022: не закладывать</t>
  </si>
  <si>
    <t xml:space="preserve">S13</t>
  </si>
  <si>
    <t xml:space="preserve">Протокол</t>
  </si>
  <si>
    <t xml:space="preserve">Формат</t>
  </si>
  <si>
    <t xml:space="preserve">Контрольная сумма</t>
  </si>
  <si>
    <t xml:space="preserve">Проверка на реальных пакетах</t>
  </si>
  <si>
    <t xml:space="preserve">Декодер Traccar 6.15.3</t>
  </si>
  <si>
    <t xml:space="preserve">Как передать моточасы</t>
  </si>
  <si>
    <t xml:space="preserve">Сквозной прогон стенда</t>
  </si>
  <si>
    <t xml:space="preserve">Особенности</t>
  </si>
  <si>
    <t xml:space="preserve">Galileosky</t>
  </si>
  <si>
    <t xml:space="preserve">двоичный, теги</t>
  </si>
  <si>
    <t xml:space="preserve">CRC-16/MODBUS</t>
  </si>
  <si>
    <t xml:space="preserve">12 из 12 пакетов (S1)</t>
  </si>
  <si>
    <t xml:space="preserve">galileo: теги CAN_B0/B1 отдаются «сырыми»</t>
  </si>
  <si>
    <t xml:space="preserve">CAN_B1 (гипотеза H-GS-1: SPN 247 raw) или регистры CAN32BITR</t>
  </si>
  <si>
    <t xml:space="preserve">6581 записей, 6581 сверено</t>
  </si>
  <si>
    <t xml:space="preserve">Пакет ≤ 1000 байт; ответ 0x02 + CRC</t>
  </si>
  <si>
    <t xml:space="preserve">Wialon IPS 2.0</t>
  </si>
  <si>
    <t xml:space="preserve">текст</t>
  </si>
  <si>
    <t xml:space="preserve">CRC-16/ARC (4 hex)</t>
  </si>
  <si>
    <t xml:space="preserve">5 из 6 пакетов; 1 логин с нестандартной CRC — журналировать, не отбрасывать (S1, S2)</t>
  </si>
  <si>
    <t xml:space="preserve">wialon: CRC не проверяет; имена параметров в нижнем регистре</t>
  </si>
  <si>
    <t xml:space="preserve">Параметр вида eng_hours:2:1234.55</t>
  </si>
  <si>
    <t xml:space="preserve">7013 записей, 7013 сверено</t>
  </si>
  <si>
    <t xml:space="preserve">saveOriginal=true ломает сохранение чёрного ящика (атрибуты &gt; 4000 символов)</t>
  </si>
  <si>
    <t xml:space="preserve">EGTS</t>
  </si>
  <si>
    <t xml:space="preserve">двоичный (ГОСТ 33472-2015)</t>
  </si>
  <si>
    <t xml:space="preserve">CRC-8 (0x31, 0xFF) + CRC-16 CCITT</t>
  </si>
  <si>
    <t xml:space="preserve">17 из 17 пакетов (S1)</t>
  </si>
  <si>
    <t xml:space="preserve">egts: позиции да; COUNTERS/ABS_CNTR (моточасы) — нет</t>
  </si>
  <si>
    <t xml:space="preserve">Счётчик ABS_CNTR (номер и масштаб — по договорённости)</t>
  </si>
  <si>
    <t xml:space="preserve">3834 записей, 3833 сверено</t>
  </si>
  <si>
    <t xml:space="preserve">Моточасы теряются в Traccar: нужна доработка или свой приёмник</t>
  </si>
  <si>
    <t xml:space="preserve">NTCB/FLEX (Навтелеком)</t>
  </si>
  <si>
    <t xml:space="preserve">двоичный</t>
  </si>
  <si>
    <t xml:space="preserve">CRC-8 (по документации)</t>
  </si>
  <si>
    <t xml:space="preserve">не проверялось</t>
  </si>
  <si>
    <t xml:space="preserve">navis</t>
  </si>
  <si>
    <t xml:space="preserve">Поле FLEX (номер — по документации производителя)</t>
  </si>
  <si>
    <t xml:space="preserve">не моделировалось</t>
  </si>
  <si>
    <t xml:space="preserve">Уточнить таблицу полей FLEX у производителя</t>
  </si>
  <si>
    <t xml:space="preserve">Канал</t>
  </si>
  <si>
    <t xml:space="preserve">Статус в РФ</t>
  </si>
  <si>
    <t xml:space="preserve">Роль в системе</t>
  </si>
  <si>
    <t xml:space="preserve">2G (GSM)</t>
  </si>
  <si>
    <t xml:space="preserve">Сохраняется не менее 10 лет</t>
  </si>
  <si>
    <t xml:space="preserve">Резерв там, где нет LTE (поля, дороги)</t>
  </si>
  <si>
    <t xml:space="preserve">S22</t>
  </si>
  <si>
    <t xml:space="preserve">3G</t>
  </si>
  <si>
    <t xml:space="preserve">Операторы ускоряют отключение (МТС — 2026)</t>
  </si>
  <si>
    <t xml:space="preserve">Не выбирать 3G-модемы</t>
  </si>
  <si>
    <t xml:space="preserve">S21</t>
  </si>
  <si>
    <t xml:space="preserve">4G LTE Cat.1/Cat.4</t>
  </si>
  <si>
    <t xml:space="preserve">Основная сеть</t>
  </si>
  <si>
    <t xml:space="preserve">Основной канал; модем с 2G-резервом</t>
  </si>
  <si>
    <t xml:space="preserve">NB-IoT / LTE-M</t>
  </si>
  <si>
    <t xml:space="preserve">Ограниченное покрытие, карты операторами не публикуются</t>
  </si>
  <si>
    <t xml:space="preserve">Не основной канал для техники в движении</t>
  </si>
  <si>
    <t xml:space="preserve">Спутник (Гонец и др.)</t>
  </si>
  <si>
    <t xml:space="preserve">Статус коммерческих услуг — проверить; Starlink в РФ не используется</t>
  </si>
  <si>
    <t xml:space="preserve">Опция для машин, неделями без связи</t>
  </si>
  <si>
    <t xml:space="preserve">Частная сеть карьера (LTE/Wi-Fi)</t>
  </si>
  <si>
    <t xml:space="preserve">По договорённости с предприятием</t>
  </si>
  <si>
    <t xml:space="preserve">APN/VPN до нашего шлюза</t>
  </si>
  <si>
    <t xml:space="preserve">Bluetooth-выгрузка через телефон</t>
  </si>
  <si>
    <t xml:space="preserve">Зависит от модели трекера</t>
  </si>
  <si>
    <t xml:space="preserve">Резерв для лесосек (механик/оператор забирает архив)</t>
  </si>
  <si>
    <t xml:space="preserve">Трафик одной машины в месяц. Точек/сутки и байт на точку — со стенда (голубые), остальное — ввод.</t>
  </si>
  <si>
    <t xml:space="preserve">TCP/IP заголовки на сегмент, байт</t>
  </si>
  <si>
    <t xml:space="preserve">Накладные на TCP-сессию, байт</t>
  </si>
  <si>
    <t xml:space="preserve">Дней в месяце</t>
  </si>
  <si>
    <t xml:space="preserve">Запас при выборе тарифа</t>
  </si>
  <si>
    <t xml:space="preserve">Машина</t>
  </si>
  <si>
    <t xml:space="preserve">Точек/сутки</t>
  </si>
  <si>
    <t xml:space="preserve">Байт на точку</t>
  </si>
  <si>
    <t xml:space="preserve">Точек в пакете</t>
  </si>
  <si>
    <t xml:space="preserve">Накладные пакета, байт</t>
  </si>
  <si>
    <t xml:space="preserve">Ответ сервера на пакет, байт</t>
  </si>
  <si>
    <t xml:space="preserve">Сессий/сутки</t>
  </si>
  <si>
    <t xml:space="preserve">Байт/сутки</t>
  </si>
  <si>
    <t xml:space="preserve">МБ/месяц</t>
  </si>
  <si>
    <t xml:space="preserve">Пакет тарифа, МБ</t>
  </si>
  <si>
    <t xml:space="preserve">Трактор с электронным двигателем (J1939)</t>
  </si>
  <si>
    <t xml:space="preserve">galileosky</t>
  </si>
  <si>
    <t xml:space="preserve">wialon</t>
  </si>
  <si>
    <t xml:space="preserve">egts</t>
  </si>
  <si>
    <t xml:space="preserve">Трактор с механическим ТНВД (без CAN)</t>
  </si>
  <si>
    <t xml:space="preserve">Экскаватор 20-50 т</t>
  </si>
  <si>
    <t xml:space="preserve">EGTS: ответ шлюза — по пакету на каждую запись (так отвечает Traccar), поэтому накладные ответа велики.</t>
  </si>
  <si>
    <t xml:space="preserve">Хранилище и нагрузка на приём (TimescaleDB/PostgreSQL).</t>
  </si>
  <si>
    <t xml:space="preserve">Парк машин</t>
  </si>
  <si>
    <t xml:space="preserve">Точек в сутки на машину (среднее)</t>
  </si>
  <si>
    <t xml:space="preserve">Байт на строку в БД до сжатия</t>
  </si>
  <si>
    <t xml:space="preserve">Коэффициент сжатия (доля от исходного, допущение)</t>
  </si>
  <si>
    <t xml:space="preserve">Срок хранения, дней</t>
  </si>
  <si>
    <t xml:space="preserve">Число копий (реплики)</t>
  </si>
  <si>
    <t xml:space="preserve">Индексы и служебные данные, доля</t>
  </si>
  <si>
    <t xml:space="preserve">Пиковый множитель нагрузки</t>
  </si>
  <si>
    <t xml:space="preserve">Строк в сутки</t>
  </si>
  <si>
    <t xml:space="preserve">Сообщений в секунду (среднее)</t>
  </si>
  <si>
    <t xml:space="preserve">Сообщений в секунду (пик)</t>
  </si>
  <si>
    <t xml:space="preserve">Сырые данные в сутки, ГБ</t>
  </si>
  <si>
    <t xml:space="preserve">Итого на дисках за срок хранения, ТБ</t>
  </si>
  <si>
    <t xml:space="preserve">Потребность в масле на машину и по парку. Объёмы и интервалы — ПЛЕЙСХОЛДЕРЫ (оранжевые): заменить данными руководств OEM / рекомендаций FUCHS. Моточасы/год — из модели загрузки (голубые).</t>
  </si>
  <si>
    <t xml:space="preserve">Машин, шт</t>
  </si>
  <si>
    <t xml:space="preserve">Моточасов/год</t>
  </si>
  <si>
    <t xml:space="preserve">Интервал моторного масла, ч</t>
  </si>
  <si>
    <t xml:space="preserve">Заправка моторного масла, л</t>
  </si>
  <si>
    <t xml:space="preserve">Топливо, л/ч</t>
  </si>
  <si>
    <t xml:space="preserve">Долив, доля от топлива</t>
  </si>
  <si>
    <t xml:space="preserve">Интервал гидравлики, ч</t>
  </si>
  <si>
    <t xml:space="preserve">Объём гидросистемы, л</t>
  </si>
  <si>
    <t xml:space="preserve">Замен моторного масла/год</t>
  </si>
  <si>
    <t xml:space="preserve">Моторное масло, л/год</t>
  </si>
  <si>
    <t xml:space="preserve">Гидравлическое масло, л/год</t>
  </si>
  <si>
    <t xml:space="preserve">Итого на машину, л/год</t>
  </si>
  <si>
    <t xml:space="preserve">Итого по классу, л/год</t>
  </si>
  <si>
    <t xml:space="preserve">Трактор (J1939)</t>
  </si>
  <si>
    <t xml:space="preserve">Харвестер/форвардер</t>
  </si>
  <si>
    <t xml:space="preserve">Карьерный экскаватор</t>
  </si>
  <si>
    <t xml:space="preserve">Лесовоз</t>
  </si>
  <si>
    <t xml:space="preserve">Итого по парку, л/год</t>
  </si>
  <si>
    <t xml:space="preserve">Стоимость подключения и владения. Цены трекера/считывателя — ориентиры (лист «Оборудование»); прочее — плейсхолдеры.</t>
  </si>
  <si>
    <t xml:space="preserve">Трекер с CAN, ₽</t>
  </si>
  <si>
    <t xml:space="preserve">CAN-считыватель, ₽</t>
  </si>
  <si>
    <t xml:space="preserve">Доля машин, где нужен считыватель</t>
  </si>
  <si>
    <t xml:space="preserve">Монтаж, ₽</t>
  </si>
  <si>
    <t xml:space="preserve">Антенны, кабели, крепёж, ₽</t>
  </si>
  <si>
    <t xml:space="preserve">SIM M2M в месяц, ₽</t>
  </si>
  <si>
    <t xml:space="preserve">Облако и сопровождение платформы в месяц, ₽ (весь парк)</t>
  </si>
  <si>
    <t xml:space="preserve">Парк машин, шт</t>
  </si>
  <si>
    <t xml:space="preserve">Поддержка на машину в месяц, ₽</t>
  </si>
  <si>
    <t xml:space="preserve">Разовые затраты на машину, ₽</t>
  </si>
  <si>
    <t xml:space="preserve">Ежемесячно на машину, ₽</t>
  </si>
  <si>
    <t xml:space="preserve">Ежегодно на машину, ₽</t>
  </si>
  <si>
    <t xml:space="preserve">Владение 3 года на машину, ₽</t>
  </si>
  <si>
    <t xml:space="preserve">Владение 3 года, весь парк, ₽</t>
  </si>
  <si>
    <t xml:space="preserve">Модель (допущения — docs/simulation-report.md). CAN без значения = зажигание выключено или машина без CAN.</t>
  </si>
  <si>
    <t xml:space="preserve">Моточасов за 7 сут (истина)</t>
  </si>
  <si>
    <t xml:space="preserve">Зажигание, %</t>
  </si>
  <si>
    <t xml:space="preserve">Напряжение, %</t>
  </si>
  <si>
    <t xml:space="preserve">D+, %</t>
  </si>
  <si>
    <t xml:space="preserve">Зажигание: ч на 500 ч</t>
  </si>
  <si>
    <t xml:space="preserve">CAN: записей со значением, %</t>
  </si>
  <si>
    <t xml:space="preserve">CAN: макс. ошибка, ч</t>
  </si>
  <si>
    <t xml:space="preserve">Пробег истинный, км</t>
  </si>
  <si>
    <t xml:space="preserve">GPS 1 Гц без фильтра, км</t>
  </si>
  <si>
    <t xml:space="preserve">GPS 1 Гц с фильтром, км</t>
  </si>
  <si>
    <t xml:space="preserve">По точкам трека, км</t>
  </si>
  <si>
    <t xml:space="preserve">CAN-одометр, км</t>
  </si>
  <si>
    <t xml:space="preserve">Онлайн, %</t>
  </si>
  <si>
    <t xml:space="preserve">Точек/сут</t>
  </si>
  <si>
    <t xml:space="preserve">Доставлено за 7 сут, %</t>
  </si>
  <si>
    <t xml:space="preserve">Задержка медиана, ч</t>
  </si>
  <si>
    <t xml:space="preserve">Задержка p95, ч</t>
  </si>
  <si>
    <t xml:space="preserve">Задержка макс, ч</t>
  </si>
  <si>
    <t xml:space="preserve">Макс. точек в архиве</t>
  </si>
  <si>
    <t xml:space="preserve">Суток до переполнения 170 000</t>
  </si>
  <si>
    <t xml:space="preserve">Galileosky МБ/мес</t>
  </si>
  <si>
    <t xml:space="preserve">Wialon IPS МБ/мес</t>
  </si>
  <si>
    <t xml:space="preserve">EGTS МБ/мес</t>
  </si>
  <si>
    <t xml:space="preserve">Интервал, ч</t>
  </si>
  <si>
    <t xml:space="preserve">Замен за 4 года</t>
  </si>
  <si>
    <t xml:space="preserve">Упреждение, дн</t>
  </si>
  <si>
    <t xml:space="preserve">Среднее 28 дн: MAE</t>
  </si>
  <si>
    <t xml:space="preserve">Среднее 28 дн: P90</t>
  </si>
  <si>
    <t xml:space="preserve">EWMA: MAE</t>
  </si>
  <si>
    <t xml:space="preserve">Сезонный: MAE</t>
  </si>
  <si>
    <t xml:space="preserve">Доля прогнозов «позже факта»</t>
  </si>
  <si>
    <t xml:space="preserve">Трактор (юг, полевые работы)</t>
  </si>
  <si>
    <t xml:space="preserve">Харвестер/форвардер (2 смены)</t>
  </si>
  <si>
    <t xml:space="preserve">Карьерный экскаватор (2 смены)</t>
  </si>
  <si>
    <t xml:space="preserve">Карьерный самосвал (2 смены)</t>
  </si>
  <si>
    <t xml:space="preserve">Лесовоз (зимник + лето)</t>
  </si>
  <si>
    <t xml:space="preserve">Вариант</t>
  </si>
  <si>
    <t xml:space="preserve">Результат</t>
  </si>
  <si>
    <t xml:space="preserve">harvester_no_active_request</t>
  </si>
  <si>
    <t xml:space="preserve">{"records_with_can_hours_pct": 0.0}</t>
  </si>
  <si>
    <t xml:space="preserve">tractor_24v_threshold_set_for_12v</t>
  </si>
  <si>
    <t xml:space="preserve">{"true_h": 42.19, "voltage_method_h": 72.0, "error_pct": 70.7}</t>
  </si>
  <si>
    <t xml:space="preserve">harvester_min_speed_1.5</t>
  </si>
  <si>
    <t xml:space="preserve">{"true_km": 15.98, "gps_1hz_filtered_km": 46.16}</t>
  </si>
  <si>
    <t xml:space="preserve">harvester_min_speed_3.0</t>
  </si>
  <si>
    <t xml:space="preserve">{"true_km": 15.98, "gps_1hz_filtered_km": 7.47}</t>
  </si>
  <si>
    <t xml:space="preserve">harvester_min_speed_5.0</t>
  </si>
  <si>
    <t xml:space="preserve">{"true_km": 15.98, "gps_1hz_filtered_km": 0.0}</t>
  </si>
  <si>
    <t xml:space="preserve">excavator_min_speed_1.5</t>
  </si>
  <si>
    <t xml:space="preserve">{"true_km": 0.39, "gps_1hz_filtered_km": 3.21}</t>
  </si>
  <si>
    <t xml:space="preserve">excavator_min_speed_3.0</t>
  </si>
  <si>
    <t xml:space="preserve">{"true_km": 0.39, "gps_1hz_filtered_km": 0.08}</t>
  </si>
  <si>
    <t xml:space="preserve">excavator_min_speed_5.0</t>
  </si>
  <si>
    <t xml:space="preserve">{"true_km": 0.39, "gps_1hz_filtered_km": 0.0}</t>
  </si>
  <si>
    <t xml:space="preserve">forwarder_min_speed_1.5</t>
  </si>
  <si>
    <t xml:space="preserve">{"true_km": 85.7, "gps_1hz_filtered_km": 118.59}</t>
  </si>
  <si>
    <t xml:space="preserve">forwarder_min_speed_3.0</t>
  </si>
  <si>
    <t xml:space="preserve">{"true_km": 85.7, "gps_1hz_filtered_km": 103.93}</t>
  </si>
  <si>
    <t xml:space="preserve">forwarder_min_speed_5.0</t>
  </si>
  <si>
    <t xml:space="preserve">{"true_km": 85.7, "gps_1hz_filtered_km": 86.09}</t>
  </si>
  <si>
    <t xml:space="preserve">Сквозной прогон: эмуляторы → TCP → Traccar 6.15.3 → JSON → нормализация; потери пересылки восстановлены сверкой с БД шлюза.</t>
  </si>
  <si>
    <t xml:space="preserve">Отправлено</t>
  </si>
  <si>
    <t xml:space="preserve">Сохранено Traccar</t>
  </si>
  <si>
    <t xml:space="preserve">Пришло пересылкой</t>
  </si>
  <si>
    <t xml:space="preserve">После сверки</t>
  </si>
  <si>
    <t xml:space="preserve">Совпало с отправленным</t>
  </si>
  <si>
    <t xml:space="preserve">Макс. ошибка координат, °</t>
  </si>
  <si>
    <t xml:space="preserve">Макс. ошибка моточасов vs отправлено, ч</t>
  </si>
  <si>
    <t xml:space="preserve">Ошибка моточасов vs истина [мин, макс], ч</t>
  </si>
  <si>
    <t xml:space="preserve">Пройдено</t>
  </si>
  <si>
    <t xml:space="preserve">can</t>
  </si>
  <si>
    <t xml:space="preserve">[-0.05111111111091304, 0.0]</t>
  </si>
  <si>
    <t xml:space="preserve">да</t>
  </si>
  <si>
    <t xml:space="preserve">[-0.06416666666655146, -0.0002777777776827861]</t>
  </si>
  <si>
    <t xml:space="preserve">[-0.050833333333685005, 0.0]</t>
  </si>
  <si>
    <t xml:space="preserve">[-0.05055555555554747, -0.0002777777776827861]</t>
  </si>
  <si>
    <t xml:space="preserve">voltage</t>
  </si>
  <si>
    <t xml:space="preserve">[-0.024999999999636202, 0.0030555555549653945]</t>
  </si>
  <si>
    <t xml:space="preserve">[null, null]</t>
  </si>
  <si>
    <t xml:space="preserve">Риск</t>
  </si>
  <si>
    <t xml:space="preserve">Вероятность</t>
  </si>
  <si>
    <t xml:space="preserve">Влияние</t>
  </si>
  <si>
    <t xml:space="preserve">Мера</t>
  </si>
  <si>
    <t xml:space="preserve">Владелец</t>
  </si>
  <si>
    <t xml:space="preserve">Нет связи на лесосеке неделями</t>
  </si>
  <si>
    <t xml:space="preserve">высокое</t>
  </si>
  <si>
    <t xml:space="preserve">Архив 170 000+ точек, выгрузка на волоке, спутниковый канал для критичных машин, выгрузка через телефон по BT (проверить у модели)</t>
  </si>
  <si>
    <t xml:space="preserve">Архитектор</t>
  </si>
  <si>
    <t xml:space="preserve">Моточасы не транслируются (только по запросу)</t>
  </si>
  <si>
    <t xml:space="preserve">Трекер с активным запросом PGN 59904 или CAN-LOG; стендовая квалификация каждой модели</t>
  </si>
  <si>
    <t xml:space="preserve">Инженер интеграции</t>
  </si>
  <si>
    <t xml:space="preserve">Ошибка монтажника (порог 12/24 В, не тот вход)</t>
  </si>
  <si>
    <t xml:space="preserve">Мастер монтажа в приложении: автоматическая проверка «двигатель выкл./вкл.», фото, чек-лист</t>
  </si>
  <si>
    <t xml:space="preserve">Руководитель монтажа</t>
  </si>
  <si>
    <t xml:space="preserve">Проприетарный CAN у модели</t>
  </si>
  <si>
    <t xml:space="preserve">среднее</t>
  </si>
  <si>
    <t xml:space="preserve">CAN-LOG B44 по списку поддержки; иначе класс E</t>
  </si>
  <si>
    <t xml:space="preserve">Потери при пересылке из шлюза</t>
  </si>
  <si>
    <t xml:space="preserve">Пересылка через локальный брокер (Kafka/Redis) + ежедневная сверка с БД шлюза (реализовано на стенде)</t>
  </si>
  <si>
    <t xml:space="preserve">Бэкенд</t>
  </si>
  <si>
    <t xml:space="preserve">EGTS-ретрансляция без моточасов</t>
  </si>
  <si>
    <t xml:space="preserve">Доработка декодера Traccar (COUNTERS/ABS_CNTR) или отдельный EGTS-приёмник</t>
  </si>
  <si>
    <t xml:space="preserve">Семантика тегов CAN_B0/B1 Galileosky не подтверждена</t>
  </si>
  <si>
    <t xml:space="preserve">Гипотеза H-GS-1: стендовая проверка с генератором CAN до пилота; запрос документации у производителя</t>
  </si>
  <si>
    <t xml:space="preserve">152-ФЗ: данные пользователей вне РФ</t>
  </si>
  <si>
    <t xml:space="preserve">низкая при верном выборе</t>
  </si>
  <si>
    <t xml:space="preserve">Хостинг в РФ (Yandex Cloud / VK Cloud / Selectel), договор поручения обработки, согласия</t>
  </si>
  <si>
    <t xml:space="preserve">Юрист</t>
  </si>
  <si>
    <t xml:space="preserve">Санкции и доступность оборудования/облаков</t>
  </si>
  <si>
    <t xml:space="preserve">Российские трекеры и облака; без западных OEM-облаков в критическом пути</t>
  </si>
  <si>
    <t xml:space="preserve">Закупки</t>
  </si>
  <si>
    <t xml:space="preserve">Клиент против слежения поставщиком</t>
  </si>
  <si>
    <t xml:space="preserve">Уровни доступа: дистрибьютору — моточасы и ТО, координаты — только по согласию клиента</t>
  </si>
  <si>
    <t xml:space="preserve">Продукт</t>
  </si>
  <si>
    <t xml:space="preserve">Неверные интервалы ТО</t>
  </si>
  <si>
    <t xml:space="preserve">Интервалы только из руководств OEM/рекомендаций FUCHS с источником и версией; анализ масла</t>
  </si>
  <si>
    <t xml:space="preserve">FUCHS/технолог</t>
  </si>
  <si>
    <t xml:space="preserve">Ложный пробег у стоящих машин</t>
  </si>
  <si>
    <t xml:space="preserve">Пробег показывать только для колёсных машин; фильтры скорости/HDOP (подтверждено моделью)</t>
  </si>
  <si>
    <t xml:space="preserve">Аналитик</t>
  </si>
  <si>
    <t xml:space="preserve">Отключение 3G</t>
  </si>
  <si>
    <t xml:space="preserve">низкое</t>
  </si>
  <si>
    <t xml:space="preserve">Модемы LTE Cat.1/4 с 2G-резервом</t>
  </si>
  <si>
    <t xml:space="preserve">Лицензия карт</t>
  </si>
  <si>
    <t xml:space="preserve">Собственные тайлы OSM или коммерческая лицензия; бесплатные API для мониторинга не использовать</t>
  </si>
  <si>
    <t xml:space="preserve">Фронтенд</t>
  </si>
  <si>
    <t xml:space="preserve">Длительности — оценка при команде 4–6 человек; уточняется после ответов на вопросы.</t>
  </si>
  <si>
    <t xml:space="preserve">Этап</t>
  </si>
  <si>
    <t xml:space="preserve">Длительность</t>
  </si>
  <si>
    <t xml:space="preserve">Содержание</t>
  </si>
  <si>
    <t xml:space="preserve">0. Решения и договорённости</t>
  </si>
  <si>
    <t xml:space="preserve">2–3 нед.</t>
  </si>
  <si>
    <t xml:space="preserve">Ответы на вопросы, модель данных FUCHS (продукты, интервалы), выбор трекера, договор с облаком в РФ</t>
  </si>
  <si>
    <t xml:space="preserve">Утверждённое ТЗ v1</t>
  </si>
  <si>
    <t xml:space="preserve">1. Стенд квалификации устройств</t>
  </si>
  <si>
    <t xml:space="preserve">3–4 нед.</t>
  </si>
  <si>
    <t xml:space="preserve">USB-CAN адаптер + генератор кадров (этот репозиторий) → Galileosky/Навтелеком → шлюз; подтверждение H-GS-1</t>
  </si>
  <si>
    <t xml:space="preserve">Протокол испытаний по каждой модели трекера</t>
  </si>
  <si>
    <t xml:space="preserve">2. Ядро платформы (MVP)</t>
  </si>
  <si>
    <t xml:space="preserve">8–10 нед.</t>
  </si>
  <si>
    <t xml:space="preserve">Шлюз Traccar (PostgreSQL), брокер, нормализация, TimescaleDB, API, роли FUCHS/дистрибьютор/клиент, сервисные интервалы, уведомления</t>
  </si>
  <si>
    <t xml:space="preserve">Работающий бэкенд + веб-кабинет</t>
  </si>
  <si>
    <t xml:space="preserve">3. Мобильное приложение</t>
  </si>
  <si>
    <t xml:space="preserve">6–8 нед. (параллельно)</t>
  </si>
  <si>
    <t xml:space="preserve">Кабинет, карта, ТО, мастер монтажа, ручной ввод с фото, push (RuStore/FCM/APNs)</t>
  </si>
  <si>
    <t xml:space="preserve">Сборки Android (RuStore) и iOS</t>
  </si>
  <si>
    <t xml:space="preserve">4. Пилот</t>
  </si>
  <si>
    <t xml:space="preserve">8–12 нед.</t>
  </si>
  <si>
    <t xml:space="preserve">20–50 машин: поле, лес, карьер; сравнение с приборными счётчиками</t>
  </si>
  <si>
    <t xml:space="preserve">Отчёт о точности и надёжности на реальных машинах</t>
  </si>
  <si>
    <t xml:space="preserve">5. Масштабирование</t>
  </si>
  <si>
    <t xml:space="preserve">далее</t>
  </si>
  <si>
    <t xml:space="preserve">Интеграции OEM, EGTS-доработка, 1С дистрибьюторов, собственное устройство (при необходимости)</t>
  </si>
  <si>
    <t xml:space="preserve">Коммерческий запуск</t>
  </si>
  <si>
    <t xml:space="preserve">№</t>
  </si>
  <si>
    <t xml:space="preserve">Вопрос к руководству / FUCHS</t>
  </si>
  <si>
    <t xml:space="preserve">С каким юрлицом FUCHS идёт проект: ООО «ФУКС ОЙЛ» (РФ) или FUCHS SE? Кто заказчик и владелец ПО и данных?</t>
  </si>
  <si>
    <t xml:space="preserve">Какая бизнес-цель главная: напоминания о замене масла, прогноз продаж дистрибьюторам, программа лояльности/гарантии, контроль использования продуктов FUCHS?</t>
  </si>
  <si>
    <t xml:space="preserve">Кто платит за устройство и связь (FUCHS, дистрибьютор, клиент) и какой целевой бюджет на машину?</t>
  </si>
  <si>
    <t xml:space="preserve">Масштаб: сколько машин в пилоте и через 1–3 года? Какие регионы и сферы в приоритете?</t>
  </si>
  <si>
    <t xml:space="preserve">«Своё устройство» — это обязательно собственное железо под брендом или допустим серийный российский трекер (под брендом/с прошивкой производителя)?</t>
  </si>
  <si>
    <t xml:space="preserve">Даст ли FUCHS базу рекомендаций «машина/узел → продукт, объём, интервал» (или лицензию на неё)?</t>
  </si>
  <si>
    <t xml:space="preserve">Нужны ли координаты в реальном времени дистрибьютору и FUCHS, или им достаточно моточасов и статуса ТО (координаты видит только клиент)?</t>
  </si>
  <si>
    <t xml:space="preserve">Нужна ли интеграция с 1С дистрибьюторов (заказы, остатки) и с лабораторией анализа масла?</t>
  </si>
  <si>
    <t xml:space="preserve">Где размещать сервис: облако в РФ (какое) или серверы FUCHS? Есть ли требования ИБ заказчика?</t>
  </si>
  <si>
    <t xml:space="preserve">Нужны ли iOS и Android одновременно? Публикация в RuStore обязательна?</t>
  </si>
  <si>
    <t xml:space="preserve">Язык интерфейса: только русский или также английский (для FUCHS SE)?</t>
  </si>
  <si>
    <t xml:space="preserve">Есть ли уже установленные трекеры у ключевых клиентов (Wialon, Omnicomm и т. п.) — готовы ли они на ретрансляцию?</t>
  </si>
  <si>
    <t xml:space="preserve">Допустим ли активный опрос шины (запросы J1939) на машинах клиентов, или только пассивное бесконтактное чтение?</t>
  </si>
  <si>
    <t xml:space="preserve">Какие сроки: к какой дате нужен пилот на реальных машинах?</t>
  </si>
  <si>
    <t xml:space="preserve">Что было согласовано по старой ветке (харвестеры, кубатура, 1С) — это входит в объём или исключается?</t>
  </si>
  <si>
    <t xml:space="preserve">Дата обращения к источникам: 2026-09-23.</t>
  </si>
  <si>
    <t xml:space="preserve">ID</t>
  </si>
  <si>
    <t xml:space="preserve">Описание</t>
  </si>
  <si>
    <t xml:space="preserve">URL</t>
  </si>
  <si>
    <t xml:space="preserve">S1</t>
  </si>
  <si>
    <t xml:space="preserve">Traccar v6.15.3 (Apache-2.0): исходники декодеров, тестовые пакеты устройств</t>
  </si>
  <si>
    <t xml:space="preserve">https://github.com/traccar/traccar</t>
  </si>
  <si>
    <t xml:space="preserve">S2</t>
  </si>
  <si>
    <t xml:space="preserve">Gurtam: спецификация Wialon IPS v2.2 (формат, CRC, примеры)</t>
  </si>
  <si>
    <t xml:space="preserve">https://help.wialon.com/app/locale/en/spaces/wialon-hosting/user-guide/hardware/assets/wialon-ips-v-2-2-en.pdf</t>
  </si>
  <si>
    <t xml:space="preserve">S3</t>
  </si>
  <si>
    <t xml:space="preserve">CSS Electronics: J1939 Explained (пример EEC1 0x0CF00401 → 621 об/мин; запрос PGN 59904)</t>
  </si>
  <si>
    <t xml:space="preserve">https://www.csselectronics.com/pages/j1939-explained-simple-intro-tutorial</t>
  </si>
  <si>
    <t xml:space="preserve">S4</t>
  </si>
  <si>
    <t xml:space="preserve">FMS-Standard v04 (публичный PDF): параметры J1939 для телематики</t>
  </si>
  <si>
    <t xml:space="preserve">https://www.fms-standard.com/Truck/down_load/fms%20document_v_04_vers.13.10.2017.pdf</t>
  </si>
  <si>
    <t xml:space="preserve">ISOBUS Data Dictionary: Total Engine Hours, разрешение 0,05 ч, гармонизировано с J1939-71</t>
  </si>
  <si>
    <t xml:space="preserve">https://www.isobus.net/isobus/dDEntity/693</t>
  </si>
  <si>
    <t xml:space="preserve">S6</t>
  </si>
  <si>
    <t xml:space="preserve">ISO 15143-3 (AEMP 2.0): телематические данные землеройной техники</t>
  </si>
  <si>
    <t xml:space="preserve">https://www.iso.org/standard/76394.html</t>
  </si>
  <si>
    <t xml:space="preserve">S7</t>
  </si>
  <si>
    <t xml:space="preserve">152-ФЗ, ст. 18, ч. 5 (локализация персональных данных)</t>
  </si>
  <si>
    <t xml:space="preserve">https://legalacts.ru/doc/152_FZ-o-personalnyh-dannyh/glava-4/statja-18/</t>
  </si>
  <si>
    <t xml:space="preserve">S8</t>
  </si>
  <si>
    <t xml:space="preserve">Приказ Минтранса России № 285 (EGTS), приложение 7</t>
  </si>
  <si>
    <t xml:space="preserve">https://sudact.ru/law/prikaz-mintransa-rossii-ot-31072012-n-285/</t>
  </si>
  <si>
    <t xml:space="preserve">Galileosky 10 Plus: CAN J1939/FMS, архив 170 000 точек, цена-ориентир</t>
  </si>
  <si>
    <t xml:space="preserve">https://com-pass.ru/product/galileosky-10-plus-ext/</t>
  </si>
  <si>
    <t xml:space="preserve">Навтелеком SIGNAL S-2653: 2×CAN, J1939 (FMS), цена-ориентир; паспорт</t>
  </si>
  <si>
    <t xml:space="preserve">https://technesis.ru/shop/transport/telemetriya-navigatsiya/navtelecom-signal-s-2653</t>
  </si>
  <si>
    <t xml:space="preserve">CAN-LOG B34 (Фарватер), цена-ориентир</t>
  </si>
  <si>
    <t xml:space="preserve">https://canlog.ru/product/can-log-b34/</t>
  </si>
  <si>
    <t xml:space="preserve">CAN-LOG B44: поддержка с/х, строительной и лесной техники</t>
  </si>
  <si>
    <t xml:space="preserve">https://xn--80akat2aadbjc.xn--p1ai/catalog/can-adaptery/farvater-can-log-b44/</t>
  </si>
  <si>
    <t xml:space="preserve">LRT: Teltonika прекратила поставки в Россию (2022)</t>
  </si>
  <si>
    <t xml:space="preserve">https://www.lrt.lt/en/news-in-english/19/2467389</t>
  </si>
  <si>
    <t xml:space="preserve">S14</t>
  </si>
  <si>
    <t xml:space="preserve">Wialon: датчики моточасов (абсолютные/относительные)</t>
  </si>
  <si>
    <t xml:space="preserve">https://help.wialon.com/ru/wialon-local/2404/user-guide/monitoring-system/units/unit-properties/sensors/general-properties/additional-properties</t>
  </si>
  <si>
    <t xml:space="preserve">S15</t>
  </si>
  <si>
    <t xml:space="preserve">ПТЗ «Кировец»: материалы 2021 (телематика Кировец-Агромонитор)</t>
  </si>
  <si>
    <t xml:space="preserve">https://kirovets-ptz.com/upload/medialibrary/d63/</t>
  </si>
  <si>
    <t xml:space="preserve">Ростсельмаш: РСМ Агротроник</t>
  </si>
  <si>
    <t xml:space="preserve">https://blog.rostselmash.com/tekhnika-i-tekhnologii/rsm-agrotronik-obektivnyy-auditor-sokhranyayushchiy-vashi-dengi/</t>
  </si>
  <si>
    <t xml:space="preserve">КАМАЗ: ИТИС-КАМАЗ</t>
  </si>
  <si>
    <t xml:space="preserve">https://kamaz.ru/production/itis-kamaz/</t>
  </si>
  <si>
    <t xml:space="preserve">ЛПК Сибири (08.2025): мониторинг техники Амкодор на Galileosky</t>
  </si>
  <si>
    <t xml:space="preserve">https://lpk-sibiri.ru/logging/harvesters/monitoring-lesnoj-tekhniki-galileosky-amkodor/</t>
  </si>
  <si>
    <t xml:space="preserve">МТЗ: Беларус 1523 — двигатель Д-260.1</t>
  </si>
  <si>
    <t xml:space="preserve">https://mtz.ru/catalog/traktory/bazovaya-model-belarus-1523/belarus-1523v</t>
  </si>
  <si>
    <t xml:space="preserve">ЧЕТРА Т-11: исполнения с ЯМЗ-236 и Cummins QSB6.7</t>
  </si>
  <si>
    <t xml:space="preserve">https://www.chetra.ru/catalog/buldozers/chetra-t11/</t>
  </si>
  <si>
    <t xml:space="preserve">МТС (12.11.2025): ускорение отключения 3G в 2026</t>
  </si>
  <si>
    <t xml:space="preserve">https://moskva.mts.ru/about/media-centr/soobshheniya-kompanii/novosti-mts-v-rossii-i-mire/2025-11-12/</t>
  </si>
  <si>
    <t xml:space="preserve">Известия (09.06.2026): 2G сохраняется не менее 10 лет</t>
  </si>
  <si>
    <t xml:space="preserve">https://en.iz.ru/en/node/2111980</t>
  </si>
  <si>
    <t xml:space="preserve">S23</t>
  </si>
  <si>
    <t xml:space="preserve">Рослесхоз (12.08.2025): свыше 100 тыс. единиц лесной техники подключено к ФГИС ЛК</t>
  </si>
  <si>
    <t xml:space="preserve">https://rosleshoz.gov.ru/news/federal/rosleskhoz-svyshe-100-edinits-lesnoy-tekhniki-podklyucheno-ko-fgis-lesnogo-kompleksa/</t>
  </si>
  <si>
    <t xml:space="preserve">S24</t>
  </si>
  <si>
    <t xml:space="preserve">Письмо Рослесхоза от 02.11.2024 № ВС-04-29/27268 (навигация лесной техники, ФГИС ЛК через ГАИС ЭРА-ГЛОНАСС)</t>
  </si>
  <si>
    <t xml:space="preserve">https://www.consultant.ru/document/cons_doc_LAW_490340/</t>
  </si>
  <si>
    <t xml:space="preserve">S25</t>
  </si>
  <si>
    <t xml:space="preserve">Яндекс: коммерческое использование API Карт (мониторинг транспорта в бесплатной версии запрещён)</t>
  </si>
  <si>
    <t xml:space="preserve">https://yandex.com/dev/commercial/doc/</t>
  </si>
  <si>
    <t xml:space="preserve">S26</t>
  </si>
  <si>
    <t xml:space="preserve">OSMF: политика использования тайлов OpenStreetMap</t>
  </si>
  <si>
    <t xml:space="preserve">https://operations.osmfoundation.org/policies/tiles/</t>
  </si>
  <si>
    <t xml:space="preserve">S27</t>
  </si>
  <si>
    <t xml:space="preserve">RuStore: публикация и проверка приложений</t>
  </si>
  <si>
    <t xml:space="preserve">https://www.rustore.ru/help/en/developers/publishing-and-verifying-apps/</t>
  </si>
  <si>
    <t xml:space="preserve">S28</t>
  </si>
  <si>
    <t xml:space="preserve">Lubes'N'Greases: российский рынок остаётся важным для FUCHS</t>
  </si>
  <si>
    <t xml:space="preserve">https://www.lubesngreases.com/lubereport-emea/5_36/russian-market-remains-crucial-to-fuchs/</t>
  </si>
  <si>
    <t xml:space="preserve">S29</t>
  </si>
  <si>
    <t xml:space="preserve">Реестр: ООО «ФУКС ОЙЛ» (ОГРН 1027600839078)</t>
  </si>
  <si>
    <t xml:space="preserve">https://reabiz.ru/organization/1027600839078-fuks-oyl</t>
  </si>
  <si>
    <t xml:space="preserve">S30</t>
  </si>
  <si>
    <t xml:space="preserve">Минтранс: нормы расхода топлив и смазочных материалов (АМ-23-р)</t>
  </si>
  <si>
    <t xml:space="preserve">https://www.mintrans.gov.ru/documents/2/13592</t>
  </si>
  <si>
    <t xml:space="preserve">S31</t>
  </si>
  <si>
    <t xml:space="preserve">ГОСТ 20793-2009 отменён 01.07.2023, заменён ГОСТ 20793-2023</t>
  </si>
  <si>
    <t xml:space="preserve">https://allgosts.ru/amp/65/060/gost_20793-2009</t>
  </si>
  <si>
    <t xml:space="preserve">CyberLeninka: эффективность эксплуатации БелАЗ-7540 (годовая наработка, простои)</t>
  </si>
  <si>
    <t xml:space="preserve">https://cyberleninka.ru/article/n/analiz-effektivnosti-ekspluatatsii-avtosamosvalov-belaz-7540/</t>
  </si>
  <si>
    <t xml:space="preserve">Руководство МТЗ 80.1/82.1 (EN): периодичность ТО</t>
  </si>
  <si>
    <t xml:space="preserve">http://www.mtzequipment.com/sites/default/files/manuals/80.1_80.2_82.1_82.2_82P_ENG_manual.pdf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</si>
</sst>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8CBAD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1" t="s">
        <v>1</v>
      </c>
      <c r="B2" s="2" t="s">
        <v>2</v>
      </c>
    </row>
    <row r="3" customFormat="false" ht="28.35" hidden="false" customHeight="false" outlineLevel="0" collapsed="false">
      <c r="A3" s="1" t="s">
        <v>3</v>
      </c>
      <c r="B3" s="2" t="s">
        <v>4</v>
      </c>
    </row>
    <row r="4" customFormat="false" ht="28.35" hidden="false" customHeight="false" outlineLevel="0" collapsed="false">
      <c r="A4" s="1" t="s">
        <v>5</v>
      </c>
      <c r="B4" s="2" t="s">
        <v>6</v>
      </c>
    </row>
    <row r="5" customFormat="false" ht="15" hidden="false" customHeight="false" outlineLevel="0" collapsed="false">
      <c r="A5" s="1" t="s">
        <v>7</v>
      </c>
      <c r="B5" s="2" t="s">
        <v>8</v>
      </c>
    </row>
    <row r="6" customFormat="false" ht="15" hidden="false" customHeight="false" outlineLevel="0" collapsed="false">
      <c r="A6" s="1" t="s">
        <v>9</v>
      </c>
      <c r="B6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7" min="7" style="0" width="24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45" hidden="false" customHeight="true" outlineLevel="0" collapsed="false">
      <c r="A1" s="3" t="s">
        <v>11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8.35" hidden="false" customHeight="false" outlineLevel="0" collapsed="false">
      <c r="A2" s="4" t="s">
        <v>12</v>
      </c>
      <c r="B2" s="4" t="s">
        <v>13</v>
      </c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</row>
    <row r="3" customFormat="false" ht="41.75" hidden="false" customHeight="false" outlineLevel="0" collapsed="false">
      <c r="A3" s="2" t="s">
        <v>22</v>
      </c>
      <c r="B3" s="2" t="s">
        <v>23</v>
      </c>
      <c r="C3" s="2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29</v>
      </c>
      <c r="I3" s="2" t="s">
        <v>30</v>
      </c>
      <c r="J3" s="2" t="s">
        <v>31</v>
      </c>
    </row>
    <row r="4" customFormat="false" ht="28.35" hidden="false" customHeight="false" outlineLevel="0" collapsed="false">
      <c r="A4" s="2" t="s">
        <v>22</v>
      </c>
      <c r="B4" s="2" t="s">
        <v>32</v>
      </c>
      <c r="C4" s="2" t="s">
        <v>33</v>
      </c>
      <c r="D4" s="2" t="s">
        <v>34</v>
      </c>
      <c r="E4" s="2" t="s">
        <v>35</v>
      </c>
      <c r="F4" s="2" t="s">
        <v>36</v>
      </c>
      <c r="G4" s="2" t="s">
        <v>37</v>
      </c>
      <c r="H4" s="2" t="s">
        <v>38</v>
      </c>
      <c r="I4" s="2" t="s">
        <v>39</v>
      </c>
      <c r="J4" s="2" t="s">
        <v>40</v>
      </c>
    </row>
    <row r="5" customFormat="false" ht="28.35" hidden="false" customHeight="false" outlineLevel="0" collapsed="false">
      <c r="A5" s="2" t="s">
        <v>22</v>
      </c>
      <c r="B5" s="2" t="s">
        <v>41</v>
      </c>
      <c r="C5" s="2" t="s">
        <v>42</v>
      </c>
      <c r="D5" s="2" t="s">
        <v>43</v>
      </c>
      <c r="E5" s="2" t="s">
        <v>44</v>
      </c>
      <c r="F5" s="2" t="s">
        <v>45</v>
      </c>
      <c r="G5" s="2" t="s">
        <v>37</v>
      </c>
      <c r="H5" s="2" t="s">
        <v>46</v>
      </c>
      <c r="I5" s="2" t="s">
        <v>47</v>
      </c>
      <c r="J5" s="2" t="s">
        <v>48</v>
      </c>
    </row>
    <row r="6" customFormat="false" ht="28.35" hidden="false" customHeight="false" outlineLevel="0" collapsed="false">
      <c r="A6" s="2" t="s">
        <v>22</v>
      </c>
      <c r="B6" s="2" t="s">
        <v>49</v>
      </c>
      <c r="C6" s="2" t="s">
        <v>50</v>
      </c>
      <c r="D6" s="2" t="s">
        <v>51</v>
      </c>
      <c r="E6" s="2" t="s">
        <v>52</v>
      </c>
      <c r="F6" s="2" t="s">
        <v>45</v>
      </c>
      <c r="G6" s="2" t="s">
        <v>37</v>
      </c>
      <c r="H6" s="2" t="s">
        <v>53</v>
      </c>
      <c r="I6" s="2" t="s">
        <v>47</v>
      </c>
      <c r="J6" s="2" t="s">
        <v>54</v>
      </c>
    </row>
    <row r="7" customFormat="false" ht="28.35" hidden="false" customHeight="false" outlineLevel="0" collapsed="false">
      <c r="A7" s="2" t="s">
        <v>22</v>
      </c>
      <c r="B7" s="2" t="s">
        <v>55</v>
      </c>
      <c r="C7" s="2" t="s">
        <v>56</v>
      </c>
      <c r="D7" s="2" t="s">
        <v>57</v>
      </c>
      <c r="E7" s="2" t="s">
        <v>58</v>
      </c>
      <c r="F7" s="2" t="s">
        <v>59</v>
      </c>
      <c r="G7" s="2" t="s">
        <v>37</v>
      </c>
      <c r="H7" s="2" t="s">
        <v>60</v>
      </c>
      <c r="I7" s="2" t="s">
        <v>30</v>
      </c>
      <c r="J7" s="2" t="s">
        <v>61</v>
      </c>
    </row>
    <row r="8" customFormat="false" ht="28.35" hidden="false" customHeight="false" outlineLevel="0" collapsed="false">
      <c r="A8" s="2" t="s">
        <v>22</v>
      </c>
      <c r="B8" s="2" t="s">
        <v>62</v>
      </c>
      <c r="C8" s="2" t="s">
        <v>63</v>
      </c>
      <c r="D8" s="2" t="s">
        <v>64</v>
      </c>
      <c r="E8" s="2" t="s">
        <v>65</v>
      </c>
      <c r="F8" s="2" t="s">
        <v>54</v>
      </c>
      <c r="G8" s="2" t="s">
        <v>54</v>
      </c>
      <c r="H8" s="2" t="s">
        <v>66</v>
      </c>
      <c r="I8" s="2" t="s">
        <v>39</v>
      </c>
      <c r="J8" s="2" t="s">
        <v>67</v>
      </c>
    </row>
    <row r="9" customFormat="false" ht="41.75" hidden="false" customHeight="false" outlineLevel="0" collapsed="false">
      <c r="A9" s="2" t="s">
        <v>68</v>
      </c>
      <c r="B9" s="2" t="s">
        <v>69</v>
      </c>
      <c r="C9" s="2" t="s">
        <v>70</v>
      </c>
      <c r="D9" s="2" t="s">
        <v>71</v>
      </c>
      <c r="E9" s="2" t="s">
        <v>72</v>
      </c>
      <c r="F9" s="2" t="s">
        <v>73</v>
      </c>
      <c r="G9" s="2" t="s">
        <v>74</v>
      </c>
      <c r="H9" s="2" t="s">
        <v>75</v>
      </c>
      <c r="I9" s="2" t="s">
        <v>30</v>
      </c>
      <c r="J9" s="2" t="s">
        <v>76</v>
      </c>
    </row>
    <row r="10" customFormat="false" ht="28.35" hidden="false" customHeight="false" outlineLevel="0" collapsed="false">
      <c r="A10" s="2" t="s">
        <v>68</v>
      </c>
      <c r="B10" s="2" t="s">
        <v>77</v>
      </c>
      <c r="C10" s="2" t="s">
        <v>78</v>
      </c>
      <c r="D10" s="2" t="s">
        <v>79</v>
      </c>
      <c r="E10" s="2" t="s">
        <v>80</v>
      </c>
      <c r="F10" s="2" t="s">
        <v>81</v>
      </c>
      <c r="G10" s="2" t="s">
        <v>37</v>
      </c>
      <c r="H10" s="2" t="s">
        <v>82</v>
      </c>
      <c r="I10" s="2" t="s">
        <v>30</v>
      </c>
      <c r="J10" s="2" t="s">
        <v>76</v>
      </c>
    </row>
    <row r="11" customFormat="false" ht="28.35" hidden="false" customHeight="false" outlineLevel="0" collapsed="false">
      <c r="A11" s="2" t="s">
        <v>68</v>
      </c>
      <c r="B11" s="2" t="s">
        <v>83</v>
      </c>
      <c r="C11" s="2" t="s">
        <v>84</v>
      </c>
      <c r="D11" s="2" t="s">
        <v>85</v>
      </c>
      <c r="E11" s="2" t="s">
        <v>86</v>
      </c>
      <c r="F11" s="2" t="s">
        <v>87</v>
      </c>
      <c r="G11" s="2" t="s">
        <v>37</v>
      </c>
      <c r="H11" s="2" t="s">
        <v>53</v>
      </c>
      <c r="I11" s="2" t="s">
        <v>47</v>
      </c>
      <c r="J11" s="2" t="s">
        <v>54</v>
      </c>
    </row>
    <row r="12" customFormat="false" ht="28.35" hidden="false" customHeight="false" outlineLevel="0" collapsed="false">
      <c r="A12" s="2" t="s">
        <v>88</v>
      </c>
      <c r="B12" s="2" t="s">
        <v>89</v>
      </c>
      <c r="C12" s="2" t="s">
        <v>90</v>
      </c>
      <c r="D12" s="2" t="s">
        <v>91</v>
      </c>
      <c r="E12" s="2" t="s">
        <v>92</v>
      </c>
      <c r="F12" s="2" t="s">
        <v>27</v>
      </c>
      <c r="G12" s="2" t="s">
        <v>93</v>
      </c>
      <c r="H12" s="2" t="s">
        <v>94</v>
      </c>
      <c r="I12" s="2" t="s">
        <v>30</v>
      </c>
      <c r="J12" s="2" t="s">
        <v>95</v>
      </c>
    </row>
    <row r="13" customFormat="false" ht="15" hidden="false" customHeight="false" outlineLevel="0" collapsed="false">
      <c r="A13" s="2" t="s">
        <v>96</v>
      </c>
      <c r="B13" s="2" t="s">
        <v>97</v>
      </c>
      <c r="C13" s="2" t="s">
        <v>98</v>
      </c>
      <c r="D13" s="2" t="s">
        <v>99</v>
      </c>
      <c r="E13" s="2" t="s">
        <v>52</v>
      </c>
      <c r="F13" s="2" t="s">
        <v>45</v>
      </c>
      <c r="G13" s="2" t="s">
        <v>74</v>
      </c>
      <c r="H13" s="2" t="s">
        <v>100</v>
      </c>
      <c r="I13" s="2" t="s">
        <v>47</v>
      </c>
      <c r="J13" s="2" t="s">
        <v>54</v>
      </c>
    </row>
    <row r="14" customFormat="false" ht="28.35" hidden="false" customHeight="false" outlineLevel="0" collapsed="false">
      <c r="A14" s="2" t="s">
        <v>101</v>
      </c>
      <c r="B14" s="2" t="s">
        <v>102</v>
      </c>
      <c r="C14" s="2" t="s">
        <v>103</v>
      </c>
      <c r="D14" s="2" t="s">
        <v>104</v>
      </c>
      <c r="E14" s="2" t="s">
        <v>105</v>
      </c>
      <c r="F14" s="2" t="s">
        <v>81</v>
      </c>
      <c r="G14" s="2" t="s">
        <v>106</v>
      </c>
      <c r="H14" s="2" t="s">
        <v>107</v>
      </c>
      <c r="I14" s="2" t="s">
        <v>30</v>
      </c>
      <c r="J14" s="2" t="s">
        <v>108</v>
      </c>
    </row>
    <row r="15" customFormat="false" ht="41.75" hidden="false" customHeight="false" outlineLevel="0" collapsed="false">
      <c r="A15" s="2" t="s">
        <v>101</v>
      </c>
      <c r="B15" s="2" t="s">
        <v>109</v>
      </c>
      <c r="C15" s="2" t="s">
        <v>110</v>
      </c>
      <c r="D15" s="2" t="s">
        <v>79</v>
      </c>
      <c r="E15" s="2" t="s">
        <v>111</v>
      </c>
      <c r="F15" s="2" t="s">
        <v>81</v>
      </c>
      <c r="G15" s="2" t="s">
        <v>112</v>
      </c>
      <c r="H15" s="2" t="s">
        <v>113</v>
      </c>
      <c r="I15" s="2" t="s">
        <v>30</v>
      </c>
      <c r="J15" s="2" t="s">
        <v>54</v>
      </c>
    </row>
    <row r="16" customFormat="false" ht="28.35" hidden="false" customHeight="false" outlineLevel="0" collapsed="false">
      <c r="A16" s="2" t="s">
        <v>101</v>
      </c>
      <c r="B16" s="2" t="s">
        <v>114</v>
      </c>
      <c r="C16" s="2" t="s">
        <v>115</v>
      </c>
      <c r="D16" s="2" t="s">
        <v>116</v>
      </c>
      <c r="E16" s="2" t="s">
        <v>117</v>
      </c>
      <c r="F16" s="2" t="s">
        <v>118</v>
      </c>
      <c r="G16" s="2" t="s">
        <v>54</v>
      </c>
      <c r="H16" s="2" t="s">
        <v>119</v>
      </c>
      <c r="I16" s="2" t="s">
        <v>120</v>
      </c>
      <c r="J16" s="2" t="s">
        <v>54</v>
      </c>
    </row>
    <row r="17" customFormat="false" ht="28.35" hidden="false" customHeight="false" outlineLevel="0" collapsed="false">
      <c r="A17" s="2" t="s">
        <v>101</v>
      </c>
      <c r="B17" s="2" t="s">
        <v>121</v>
      </c>
      <c r="C17" s="2" t="s">
        <v>122</v>
      </c>
      <c r="D17" s="2" t="s">
        <v>123</v>
      </c>
      <c r="E17" s="2" t="s">
        <v>86</v>
      </c>
      <c r="F17" s="2" t="s">
        <v>87</v>
      </c>
      <c r="G17" s="2" t="s">
        <v>124</v>
      </c>
      <c r="H17" s="2" t="s">
        <v>125</v>
      </c>
      <c r="I17" s="2" t="s">
        <v>30</v>
      </c>
      <c r="J17" s="2" t="s">
        <v>126</v>
      </c>
    </row>
    <row r="18" customFormat="false" ht="28.35" hidden="false" customHeight="false" outlineLevel="0" collapsed="false">
      <c r="A18" s="2" t="s">
        <v>101</v>
      </c>
      <c r="B18" s="2" t="s">
        <v>127</v>
      </c>
      <c r="C18" s="2" t="s">
        <v>128</v>
      </c>
      <c r="D18" s="2" t="s">
        <v>129</v>
      </c>
      <c r="E18" s="2" t="s">
        <v>130</v>
      </c>
      <c r="F18" s="2" t="s">
        <v>131</v>
      </c>
      <c r="G18" s="2" t="s">
        <v>54</v>
      </c>
      <c r="H18" s="2" t="s">
        <v>125</v>
      </c>
      <c r="I18" s="2" t="s">
        <v>47</v>
      </c>
      <c r="J18" s="2" t="s">
        <v>54</v>
      </c>
    </row>
    <row r="19" customFormat="false" ht="28.35" hidden="false" customHeight="false" outlineLevel="0" collapsed="false">
      <c r="A19" s="2" t="s">
        <v>132</v>
      </c>
      <c r="B19" s="2" t="s">
        <v>133</v>
      </c>
      <c r="C19" s="2" t="s">
        <v>134</v>
      </c>
      <c r="D19" s="2" t="s">
        <v>135</v>
      </c>
      <c r="E19" s="2" t="s">
        <v>105</v>
      </c>
      <c r="F19" s="2" t="s">
        <v>81</v>
      </c>
      <c r="G19" s="2" t="s">
        <v>136</v>
      </c>
      <c r="H19" s="2" t="s">
        <v>100</v>
      </c>
      <c r="I19" s="2" t="s">
        <v>30</v>
      </c>
      <c r="J19" s="2" t="s">
        <v>54</v>
      </c>
    </row>
    <row r="20" customFormat="false" ht="28.35" hidden="false" customHeight="false" outlineLevel="0" collapsed="false">
      <c r="A20" s="2" t="s">
        <v>137</v>
      </c>
      <c r="B20" s="2" t="s">
        <v>138</v>
      </c>
      <c r="C20" s="2" t="s">
        <v>139</v>
      </c>
      <c r="D20" s="2" t="s">
        <v>99</v>
      </c>
      <c r="E20" s="2" t="s">
        <v>140</v>
      </c>
      <c r="F20" s="2" t="s">
        <v>81</v>
      </c>
      <c r="G20" s="2" t="s">
        <v>124</v>
      </c>
      <c r="H20" s="2" t="s">
        <v>100</v>
      </c>
      <c r="I20" s="2" t="s">
        <v>30</v>
      </c>
      <c r="J20" s="2" t="s">
        <v>54</v>
      </c>
    </row>
    <row r="21" customFormat="false" ht="15" hidden="false" customHeight="false" outlineLevel="0" collapsed="false">
      <c r="A21" s="2" t="s">
        <v>137</v>
      </c>
      <c r="B21" s="2" t="s">
        <v>141</v>
      </c>
      <c r="C21" s="2" t="s">
        <v>142</v>
      </c>
      <c r="D21" s="2" t="s">
        <v>143</v>
      </c>
      <c r="E21" s="2" t="s">
        <v>52</v>
      </c>
      <c r="F21" s="2" t="s">
        <v>45</v>
      </c>
      <c r="G21" s="2" t="s">
        <v>37</v>
      </c>
      <c r="H21" s="2" t="s">
        <v>53</v>
      </c>
      <c r="I21" s="2" t="s">
        <v>47</v>
      </c>
      <c r="J21" s="2" t="s">
        <v>54</v>
      </c>
    </row>
    <row r="22" customFormat="false" ht="28.35" hidden="false" customHeight="false" outlineLevel="0" collapsed="false">
      <c r="A22" s="2" t="s">
        <v>144</v>
      </c>
      <c r="B22" s="2" t="s">
        <v>145</v>
      </c>
      <c r="C22" s="2" t="s">
        <v>146</v>
      </c>
      <c r="D22" s="2" t="s">
        <v>147</v>
      </c>
      <c r="E22" s="2" t="s">
        <v>52</v>
      </c>
      <c r="F22" s="2" t="s">
        <v>45</v>
      </c>
      <c r="G22" s="2" t="s">
        <v>37</v>
      </c>
      <c r="H22" s="2" t="s">
        <v>53</v>
      </c>
      <c r="I22" s="2" t="s">
        <v>47</v>
      </c>
      <c r="J22" s="2" t="s">
        <v>54</v>
      </c>
    </row>
    <row r="23" customFormat="false" ht="15" hidden="false" customHeight="false" outlineLevel="0" collapsed="false">
      <c r="A23" s="2" t="s">
        <v>144</v>
      </c>
      <c r="B23" s="2" t="s">
        <v>148</v>
      </c>
      <c r="C23" s="2" t="s">
        <v>149</v>
      </c>
      <c r="D23" s="2" t="s">
        <v>143</v>
      </c>
      <c r="E23" s="2" t="s">
        <v>52</v>
      </c>
      <c r="F23" s="2" t="s">
        <v>45</v>
      </c>
      <c r="G23" s="2" t="s">
        <v>37</v>
      </c>
      <c r="H23" s="2" t="s">
        <v>53</v>
      </c>
      <c r="I23" s="2" t="s">
        <v>47</v>
      </c>
      <c r="J23" s="2" t="s">
        <v>54</v>
      </c>
    </row>
    <row r="24" customFormat="false" ht="28.35" hidden="false" customHeight="false" outlineLevel="0" collapsed="false">
      <c r="A24" s="2" t="s">
        <v>137</v>
      </c>
      <c r="B24" s="2" t="s">
        <v>150</v>
      </c>
      <c r="C24" s="2" t="s">
        <v>151</v>
      </c>
      <c r="D24" s="2" t="s">
        <v>152</v>
      </c>
      <c r="E24" s="2" t="s">
        <v>153</v>
      </c>
      <c r="F24" s="2" t="s">
        <v>154</v>
      </c>
      <c r="G24" s="2" t="s">
        <v>155</v>
      </c>
      <c r="H24" s="2" t="s">
        <v>156</v>
      </c>
      <c r="I24" s="2" t="s">
        <v>30</v>
      </c>
      <c r="J24" s="2" t="s">
        <v>54</v>
      </c>
    </row>
    <row r="25" customFormat="false" ht="28.35" hidden="false" customHeight="false" outlineLevel="0" collapsed="false">
      <c r="A25" s="2" t="s">
        <v>157</v>
      </c>
      <c r="B25" s="2" t="s">
        <v>158</v>
      </c>
      <c r="C25" s="2" t="s">
        <v>159</v>
      </c>
      <c r="D25" s="2" t="s">
        <v>160</v>
      </c>
      <c r="E25" s="2" t="s">
        <v>92</v>
      </c>
      <c r="F25" s="2" t="s">
        <v>81</v>
      </c>
      <c r="G25" s="2" t="s">
        <v>106</v>
      </c>
      <c r="H25" s="2" t="s">
        <v>100</v>
      </c>
      <c r="I25" s="2" t="s">
        <v>30</v>
      </c>
      <c r="J25" s="2" t="s">
        <v>161</v>
      </c>
    </row>
    <row r="26" customFormat="false" ht="28.35" hidden="false" customHeight="false" outlineLevel="0" collapsed="false">
      <c r="A26" s="2" t="s">
        <v>162</v>
      </c>
      <c r="B26" s="2" t="s">
        <v>163</v>
      </c>
      <c r="C26" s="2" t="s">
        <v>164</v>
      </c>
      <c r="D26" s="2" t="s">
        <v>165</v>
      </c>
      <c r="E26" s="2" t="s">
        <v>105</v>
      </c>
      <c r="F26" s="2" t="s">
        <v>81</v>
      </c>
      <c r="G26" s="2" t="s">
        <v>54</v>
      </c>
      <c r="H26" s="2" t="s">
        <v>166</v>
      </c>
      <c r="I26" s="2" t="s">
        <v>30</v>
      </c>
      <c r="J26" s="2" t="s">
        <v>54</v>
      </c>
    </row>
    <row r="27" customFormat="false" ht="28.35" hidden="false" customHeight="false" outlineLevel="0" collapsed="false">
      <c r="A27" s="2" t="s">
        <v>167</v>
      </c>
      <c r="B27" s="2" t="s">
        <v>168</v>
      </c>
      <c r="C27" s="2" t="s">
        <v>169</v>
      </c>
      <c r="D27" s="2" t="s">
        <v>170</v>
      </c>
      <c r="E27" s="2" t="s">
        <v>171</v>
      </c>
      <c r="F27" s="2" t="s">
        <v>172</v>
      </c>
      <c r="G27" s="2" t="s">
        <v>172</v>
      </c>
      <c r="H27" s="2" t="s">
        <v>173</v>
      </c>
      <c r="I27" s="2" t="s">
        <v>174</v>
      </c>
      <c r="J27" s="2" t="s">
        <v>175</v>
      </c>
    </row>
    <row r="28" customFormat="false" ht="28.35" hidden="false" customHeight="false" outlineLevel="0" collapsed="false">
      <c r="A28" s="2" t="s">
        <v>167</v>
      </c>
      <c r="B28" s="2" t="s">
        <v>176</v>
      </c>
      <c r="C28" s="2" t="s">
        <v>167</v>
      </c>
      <c r="D28" s="2" t="s">
        <v>170</v>
      </c>
      <c r="E28" s="2" t="s">
        <v>177</v>
      </c>
      <c r="F28" s="2" t="s">
        <v>178</v>
      </c>
      <c r="G28" s="2" t="s">
        <v>179</v>
      </c>
      <c r="H28" s="2" t="s">
        <v>180</v>
      </c>
      <c r="I28" s="2" t="s">
        <v>174</v>
      </c>
      <c r="J28" s="2" t="s">
        <v>54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36"/>
  </cols>
  <sheetData>
    <row r="1" customFormat="false" ht="28.35" hidden="false" customHeight="false" outlineLevel="0" collapsed="false">
      <c r="A1" s="4" t="s">
        <v>181</v>
      </c>
      <c r="B1" s="4" t="s">
        <v>182</v>
      </c>
      <c r="C1" s="4" t="s">
        <v>183</v>
      </c>
      <c r="D1" s="4" t="s">
        <v>184</v>
      </c>
      <c r="E1" s="4" t="s">
        <v>185</v>
      </c>
      <c r="F1" s="4" t="s">
        <v>186</v>
      </c>
      <c r="G1" s="4" t="s">
        <v>187</v>
      </c>
      <c r="H1" s="4" t="s">
        <v>188</v>
      </c>
      <c r="I1" s="4" t="s">
        <v>189</v>
      </c>
    </row>
    <row r="2" customFormat="false" ht="41.75" hidden="false" customHeight="false" outlineLevel="0" collapsed="false">
      <c r="A2" s="2" t="s">
        <v>105</v>
      </c>
      <c r="B2" s="2" t="s">
        <v>190</v>
      </c>
      <c r="C2" s="2" t="s">
        <v>191</v>
      </c>
      <c r="D2" s="2" t="s">
        <v>192</v>
      </c>
      <c r="E2" s="2" t="s">
        <v>193</v>
      </c>
      <c r="F2" s="2" t="s">
        <v>194</v>
      </c>
      <c r="G2" s="2" t="s">
        <v>195</v>
      </c>
      <c r="H2" s="2" t="s">
        <v>196</v>
      </c>
      <c r="I2" s="2" t="s">
        <v>197</v>
      </c>
    </row>
    <row r="3" customFormat="false" ht="41.75" hidden="false" customHeight="false" outlineLevel="0" collapsed="false">
      <c r="A3" s="2" t="s">
        <v>198</v>
      </c>
      <c r="B3" s="2" t="s">
        <v>199</v>
      </c>
      <c r="C3" s="2" t="s">
        <v>200</v>
      </c>
      <c r="D3" s="2" t="s">
        <v>201</v>
      </c>
      <c r="E3" s="2" t="s">
        <v>202</v>
      </c>
      <c r="F3" s="2" t="s">
        <v>203</v>
      </c>
      <c r="G3" s="2" t="s">
        <v>204</v>
      </c>
      <c r="H3" s="2" t="s">
        <v>205</v>
      </c>
      <c r="I3" s="2" t="s">
        <v>206</v>
      </c>
    </row>
    <row r="4" customFormat="false" ht="28.35" hidden="false" customHeight="false" outlineLevel="0" collapsed="false">
      <c r="A4" s="2" t="s">
        <v>207</v>
      </c>
      <c r="B4" s="2" t="s">
        <v>208</v>
      </c>
      <c r="C4" s="2" t="s">
        <v>209</v>
      </c>
      <c r="D4" s="2" t="s">
        <v>210</v>
      </c>
      <c r="E4" s="2" t="s">
        <v>54</v>
      </c>
      <c r="F4" s="2" t="s">
        <v>203</v>
      </c>
      <c r="G4" s="2" t="s">
        <v>100</v>
      </c>
      <c r="H4" s="2" t="s">
        <v>211</v>
      </c>
      <c r="I4" s="2" t="s">
        <v>212</v>
      </c>
    </row>
    <row r="5" customFormat="false" ht="28.35" hidden="false" customHeight="false" outlineLevel="0" collapsed="false">
      <c r="A5" s="2" t="s">
        <v>213</v>
      </c>
      <c r="B5" s="2" t="s">
        <v>214</v>
      </c>
      <c r="C5" s="2" t="s">
        <v>215</v>
      </c>
      <c r="D5" s="2" t="s">
        <v>216</v>
      </c>
      <c r="E5" s="2" t="s">
        <v>216</v>
      </c>
      <c r="F5" s="2" t="s">
        <v>203</v>
      </c>
      <c r="G5" s="2" t="s">
        <v>217</v>
      </c>
      <c r="H5" s="2" t="s">
        <v>218</v>
      </c>
      <c r="I5" s="2" t="s">
        <v>219</v>
      </c>
    </row>
    <row r="6" customFormat="false" ht="28.35" hidden="false" customHeight="false" outlineLevel="0" collapsed="false">
      <c r="A6" s="2" t="s">
        <v>35</v>
      </c>
      <c r="B6" s="2" t="s">
        <v>220</v>
      </c>
      <c r="C6" s="2" t="s">
        <v>221</v>
      </c>
      <c r="D6" s="2" t="s">
        <v>222</v>
      </c>
      <c r="E6" s="2" t="s">
        <v>37</v>
      </c>
      <c r="F6" s="2" t="s">
        <v>203</v>
      </c>
      <c r="G6" s="2" t="s">
        <v>223</v>
      </c>
      <c r="H6" s="2" t="s">
        <v>224</v>
      </c>
      <c r="I6" s="2" t="s">
        <v>225</v>
      </c>
    </row>
    <row r="7" customFormat="false" ht="41.75" hidden="false" customHeight="false" outlineLevel="0" collapsed="false">
      <c r="A7" s="2" t="s">
        <v>226</v>
      </c>
      <c r="B7" s="2" t="s">
        <v>227</v>
      </c>
      <c r="C7" s="2" t="s">
        <v>228</v>
      </c>
      <c r="D7" s="2" t="s">
        <v>229</v>
      </c>
      <c r="E7" s="2" t="s">
        <v>229</v>
      </c>
      <c r="F7" s="2" t="s">
        <v>229</v>
      </c>
      <c r="G7" s="2" t="s">
        <v>230</v>
      </c>
      <c r="H7" s="2" t="s">
        <v>231</v>
      </c>
      <c r="I7" s="2" t="s">
        <v>232</v>
      </c>
    </row>
    <row r="8" customFormat="false" ht="28.35" hidden="false" customHeight="false" outlineLevel="0" collapsed="false">
      <c r="A8" s="2" t="s">
        <v>233</v>
      </c>
      <c r="B8" s="2" t="s">
        <v>234</v>
      </c>
      <c r="C8" s="2" t="s">
        <v>235</v>
      </c>
      <c r="D8" s="2" t="s">
        <v>236</v>
      </c>
      <c r="E8" s="2" t="s">
        <v>54</v>
      </c>
      <c r="F8" s="2" t="s">
        <v>54</v>
      </c>
      <c r="G8" s="2" t="s">
        <v>237</v>
      </c>
      <c r="H8" s="2" t="s">
        <v>238</v>
      </c>
      <c r="I8" s="2" t="s">
        <v>232</v>
      </c>
    </row>
    <row r="9" customFormat="false" ht="28.35" hidden="false" customHeight="false" outlineLevel="0" collapsed="false">
      <c r="A9" s="2" t="s">
        <v>239</v>
      </c>
      <c r="B9" s="2" t="s">
        <v>240</v>
      </c>
      <c r="C9" s="2" t="s">
        <v>241</v>
      </c>
      <c r="D9" s="2" t="s">
        <v>242</v>
      </c>
      <c r="E9" s="2" t="s">
        <v>172</v>
      </c>
      <c r="F9" s="2" t="s">
        <v>243</v>
      </c>
      <c r="G9" s="2" t="s">
        <v>244</v>
      </c>
      <c r="H9" s="2" t="s">
        <v>245</v>
      </c>
      <c r="I9" s="2" t="s">
        <v>246</v>
      </c>
    </row>
    <row r="10" customFormat="false" ht="41.75" hidden="false" customHeight="false" outlineLevel="0" collapsed="false">
      <c r="A10" s="2" t="s">
        <v>247</v>
      </c>
      <c r="B10" s="2" t="s">
        <v>248</v>
      </c>
      <c r="C10" s="2" t="s">
        <v>249</v>
      </c>
      <c r="D10" s="2" t="s">
        <v>250</v>
      </c>
      <c r="E10" s="2" t="s">
        <v>251</v>
      </c>
      <c r="F10" s="2" t="s">
        <v>252</v>
      </c>
      <c r="G10" s="2" t="s">
        <v>253</v>
      </c>
      <c r="H10" s="2" t="s">
        <v>254</v>
      </c>
      <c r="I10" s="2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7"/>
    <col collapsed="false" customWidth="true" hidden="false" outlineLevel="0" max="5" min="5" style="0" width="40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24"/>
    <col collapsed="false" customWidth="true" hidden="false" outlineLevel="0" max="11" min="11" style="0" width="48"/>
  </cols>
  <sheetData>
    <row r="1" customFormat="false" ht="45" hidden="false" customHeight="true" outlineLevel="0" collapsed="false">
      <c r="A1" s="3" t="s">
        <v>255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28.35" hidden="false" customHeight="false" outlineLevel="0" collapsed="false">
      <c r="A2" s="4" t="s">
        <v>256</v>
      </c>
      <c r="B2" s="4" t="s">
        <v>257</v>
      </c>
      <c r="C2" s="4" t="s">
        <v>258</v>
      </c>
      <c r="D2" s="4" t="s">
        <v>259</v>
      </c>
      <c r="E2" s="4" t="s">
        <v>260</v>
      </c>
      <c r="F2" s="4" t="s">
        <v>261</v>
      </c>
      <c r="G2" s="4" t="s">
        <v>262</v>
      </c>
      <c r="H2" s="4" t="s">
        <v>263</v>
      </c>
      <c r="I2" s="4" t="s">
        <v>264</v>
      </c>
      <c r="J2" s="4" t="s">
        <v>265</v>
      </c>
      <c r="K2" s="4" t="s">
        <v>266</v>
      </c>
    </row>
    <row r="3" customFormat="false" ht="28.35" hidden="false" customHeight="false" outlineLevel="0" collapsed="false">
      <c r="A3" s="2" t="n">
        <v>61444</v>
      </c>
      <c r="B3" s="2" t="s">
        <v>267</v>
      </c>
      <c r="C3" s="2" t="s">
        <v>268</v>
      </c>
      <c r="D3" s="2" t="n">
        <v>190</v>
      </c>
      <c r="E3" s="2" t="s">
        <v>269</v>
      </c>
      <c r="F3" s="2" t="s">
        <v>270</v>
      </c>
      <c r="G3" s="2" t="n">
        <v>0.125</v>
      </c>
      <c r="H3" s="2" t="n">
        <v>0</v>
      </c>
      <c r="I3" s="2" t="s">
        <v>271</v>
      </c>
      <c r="J3" s="2" t="s">
        <v>272</v>
      </c>
      <c r="K3" s="2" t="s">
        <v>273</v>
      </c>
    </row>
    <row r="4" customFormat="false" ht="28.35" hidden="false" customHeight="false" outlineLevel="0" collapsed="false">
      <c r="A4" s="2" t="n">
        <v>65265</v>
      </c>
      <c r="B4" s="2" t="s">
        <v>274</v>
      </c>
      <c r="C4" s="2" t="s">
        <v>275</v>
      </c>
      <c r="D4" s="2" t="n">
        <v>84</v>
      </c>
      <c r="E4" s="2" t="s">
        <v>276</v>
      </c>
      <c r="F4" s="2" t="s">
        <v>277</v>
      </c>
      <c r="G4" s="2" t="n">
        <v>0.00390625</v>
      </c>
      <c r="H4" s="2" t="n">
        <v>0</v>
      </c>
      <c r="I4" s="2" t="s">
        <v>278</v>
      </c>
      <c r="J4" s="2" t="s">
        <v>279</v>
      </c>
      <c r="K4" s="2" t="s">
        <v>280</v>
      </c>
    </row>
    <row r="5" customFormat="false" ht="15" hidden="false" customHeight="false" outlineLevel="0" collapsed="false">
      <c r="A5" s="2" t="n">
        <v>65253</v>
      </c>
      <c r="B5" s="2" t="s">
        <v>281</v>
      </c>
      <c r="C5" s="2" t="s">
        <v>282</v>
      </c>
      <c r="D5" s="2" t="n">
        <v>247</v>
      </c>
      <c r="E5" s="2" t="s">
        <v>283</v>
      </c>
      <c r="F5" s="2" t="s">
        <v>284</v>
      </c>
      <c r="G5" s="2" t="n">
        <v>0.05</v>
      </c>
      <c r="H5" s="2" t="n">
        <v>0</v>
      </c>
      <c r="I5" s="2" t="s">
        <v>285</v>
      </c>
      <c r="J5" s="2" t="s">
        <v>286</v>
      </c>
      <c r="K5" s="2" t="s">
        <v>287</v>
      </c>
    </row>
    <row r="6" customFormat="false" ht="28.35" hidden="false" customHeight="false" outlineLevel="0" collapsed="false">
      <c r="A6" s="2" t="n">
        <v>65253</v>
      </c>
      <c r="B6" s="2" t="s">
        <v>281</v>
      </c>
      <c r="C6" s="2" t="s">
        <v>282</v>
      </c>
      <c r="D6" s="2" t="n">
        <v>249</v>
      </c>
      <c r="E6" s="2" t="s">
        <v>288</v>
      </c>
      <c r="F6" s="2" t="s">
        <v>289</v>
      </c>
      <c r="G6" s="2" t="n">
        <v>1000</v>
      </c>
      <c r="H6" s="2" t="n">
        <v>0</v>
      </c>
      <c r="I6" s="2" t="s">
        <v>290</v>
      </c>
      <c r="J6" s="2" t="s">
        <v>286</v>
      </c>
      <c r="K6" s="2" t="s">
        <v>280</v>
      </c>
    </row>
    <row r="7" customFormat="false" ht="28.35" hidden="false" customHeight="false" outlineLevel="0" collapsed="false">
      <c r="A7" s="2" t="n">
        <v>65248</v>
      </c>
      <c r="B7" s="2" t="s">
        <v>291</v>
      </c>
      <c r="C7" s="2" t="s">
        <v>292</v>
      </c>
      <c r="D7" s="2" t="n">
        <v>244</v>
      </c>
      <c r="E7" s="2" t="s">
        <v>293</v>
      </c>
      <c r="F7" s="2" t="s">
        <v>284</v>
      </c>
      <c r="G7" s="2" t="n">
        <v>0.125</v>
      </c>
      <c r="H7" s="2" t="n">
        <v>0</v>
      </c>
      <c r="I7" s="2" t="s">
        <v>294</v>
      </c>
      <c r="J7" s="2" t="s">
        <v>279</v>
      </c>
      <c r="K7" s="2" t="s">
        <v>280</v>
      </c>
    </row>
    <row r="8" customFormat="false" ht="28.35" hidden="false" customHeight="false" outlineLevel="0" collapsed="false">
      <c r="A8" s="2" t="n">
        <v>65248</v>
      </c>
      <c r="B8" s="2" t="s">
        <v>291</v>
      </c>
      <c r="C8" s="2" t="s">
        <v>292</v>
      </c>
      <c r="D8" s="2" t="n">
        <v>245</v>
      </c>
      <c r="E8" s="2" t="s">
        <v>295</v>
      </c>
      <c r="F8" s="2" t="s">
        <v>289</v>
      </c>
      <c r="G8" s="2" t="n">
        <v>0.125</v>
      </c>
      <c r="H8" s="2" t="n">
        <v>0</v>
      </c>
      <c r="I8" s="2" t="s">
        <v>294</v>
      </c>
      <c r="J8" s="2" t="s">
        <v>279</v>
      </c>
      <c r="K8" s="2" t="s">
        <v>280</v>
      </c>
    </row>
    <row r="9" customFormat="false" ht="28.35" hidden="false" customHeight="false" outlineLevel="0" collapsed="false">
      <c r="A9" s="2" t="n">
        <v>65217</v>
      </c>
      <c r="B9" s="2" t="s">
        <v>296</v>
      </c>
      <c r="C9" s="2" t="s">
        <v>297</v>
      </c>
      <c r="D9" s="2" t="n">
        <v>917</v>
      </c>
      <c r="E9" s="2" t="s">
        <v>298</v>
      </c>
      <c r="F9" s="2" t="s">
        <v>284</v>
      </c>
      <c r="G9" s="2" t="n">
        <v>5</v>
      </c>
      <c r="H9" s="2" t="n">
        <v>0</v>
      </c>
      <c r="I9" s="2" t="s">
        <v>299</v>
      </c>
      <c r="J9" s="2" t="s">
        <v>300</v>
      </c>
      <c r="K9" s="2" t="s">
        <v>280</v>
      </c>
    </row>
    <row r="10" customFormat="false" ht="28.35" hidden="false" customHeight="false" outlineLevel="0" collapsed="false">
      <c r="A10" s="2" t="n">
        <v>65217</v>
      </c>
      <c r="B10" s="2" t="s">
        <v>296</v>
      </c>
      <c r="C10" s="2" t="s">
        <v>297</v>
      </c>
      <c r="D10" s="2" t="n">
        <v>918</v>
      </c>
      <c r="E10" s="2" t="s">
        <v>301</v>
      </c>
      <c r="F10" s="2" t="s">
        <v>289</v>
      </c>
      <c r="G10" s="2" t="n">
        <v>5</v>
      </c>
      <c r="H10" s="2" t="n">
        <v>0</v>
      </c>
      <c r="I10" s="2" t="s">
        <v>299</v>
      </c>
      <c r="J10" s="2" t="s">
        <v>300</v>
      </c>
      <c r="K10" s="2" t="s">
        <v>280</v>
      </c>
    </row>
    <row r="11" customFormat="false" ht="28.35" hidden="false" customHeight="false" outlineLevel="0" collapsed="false">
      <c r="A11" s="2" t="n">
        <v>65257</v>
      </c>
      <c r="B11" s="2" t="s">
        <v>302</v>
      </c>
      <c r="C11" s="2" t="s">
        <v>303</v>
      </c>
      <c r="D11" s="2" t="n">
        <v>182</v>
      </c>
      <c r="E11" s="2" t="s">
        <v>304</v>
      </c>
      <c r="F11" s="2" t="s">
        <v>284</v>
      </c>
      <c r="G11" s="2" t="n">
        <v>0.5</v>
      </c>
      <c r="H11" s="2" t="n">
        <v>0</v>
      </c>
      <c r="I11" s="2" t="s">
        <v>305</v>
      </c>
      <c r="J11" s="2" t="s">
        <v>286</v>
      </c>
      <c r="K11" s="2" t="s">
        <v>280</v>
      </c>
    </row>
    <row r="12" customFormat="false" ht="28.35" hidden="false" customHeight="false" outlineLevel="0" collapsed="false">
      <c r="A12" s="2" t="n">
        <v>65257</v>
      </c>
      <c r="B12" s="2" t="s">
        <v>302</v>
      </c>
      <c r="C12" s="2" t="s">
        <v>303</v>
      </c>
      <c r="D12" s="2" t="n">
        <v>250</v>
      </c>
      <c r="E12" s="2" t="s">
        <v>306</v>
      </c>
      <c r="F12" s="2" t="s">
        <v>289</v>
      </c>
      <c r="G12" s="2" t="n">
        <v>0.5</v>
      </c>
      <c r="H12" s="2" t="n">
        <v>0</v>
      </c>
      <c r="I12" s="2" t="s">
        <v>305</v>
      </c>
      <c r="J12" s="2" t="s">
        <v>286</v>
      </c>
      <c r="K12" s="2" t="s">
        <v>280</v>
      </c>
    </row>
    <row r="13" customFormat="false" ht="28.35" hidden="false" customHeight="false" outlineLevel="0" collapsed="false">
      <c r="A13" s="2" t="n">
        <v>65266</v>
      </c>
      <c r="B13" s="2" t="s">
        <v>307</v>
      </c>
      <c r="C13" s="2" t="s">
        <v>308</v>
      </c>
      <c r="D13" s="2" t="n">
        <v>183</v>
      </c>
      <c r="E13" s="2" t="s">
        <v>309</v>
      </c>
      <c r="F13" s="2" t="s">
        <v>310</v>
      </c>
      <c r="G13" s="2" t="n">
        <v>0.05</v>
      </c>
      <c r="H13" s="2" t="n">
        <v>0</v>
      </c>
      <c r="I13" s="2" t="s">
        <v>311</v>
      </c>
      <c r="J13" s="2" t="s">
        <v>279</v>
      </c>
      <c r="K13" s="2" t="s">
        <v>280</v>
      </c>
    </row>
    <row r="14" customFormat="false" ht="28.35" hidden="false" customHeight="false" outlineLevel="0" collapsed="false">
      <c r="A14" s="2" t="n">
        <v>65276</v>
      </c>
      <c r="B14" s="2" t="s">
        <v>312</v>
      </c>
      <c r="C14" s="2" t="s">
        <v>313</v>
      </c>
      <c r="D14" s="2" t="n">
        <v>96</v>
      </c>
      <c r="E14" s="2" t="s">
        <v>314</v>
      </c>
      <c r="F14" s="2" t="s">
        <v>315</v>
      </c>
      <c r="G14" s="2" t="n">
        <v>0.4</v>
      </c>
      <c r="H14" s="2" t="n">
        <v>0</v>
      </c>
      <c r="I14" s="2" t="s">
        <v>316</v>
      </c>
      <c r="J14" s="2" t="s">
        <v>300</v>
      </c>
      <c r="K14" s="2" t="s">
        <v>280</v>
      </c>
    </row>
    <row r="15" customFormat="false" ht="28.35" hidden="false" customHeight="false" outlineLevel="0" collapsed="false">
      <c r="A15" s="2" t="n">
        <v>65262</v>
      </c>
      <c r="B15" s="2" t="s">
        <v>317</v>
      </c>
      <c r="C15" s="2" t="s">
        <v>318</v>
      </c>
      <c r="D15" s="2" t="n">
        <v>110</v>
      </c>
      <c r="E15" s="2" t="s">
        <v>319</v>
      </c>
      <c r="F15" s="2" t="s">
        <v>320</v>
      </c>
      <c r="G15" s="2" t="n">
        <v>1</v>
      </c>
      <c r="H15" s="2" t="n">
        <v>-40</v>
      </c>
      <c r="I15" s="2" t="s">
        <v>321</v>
      </c>
      <c r="J15" s="2" t="s">
        <v>300</v>
      </c>
      <c r="K15" s="2" t="s">
        <v>280</v>
      </c>
    </row>
    <row r="16" customFormat="false" ht="28.35" hidden="false" customHeight="false" outlineLevel="0" collapsed="false">
      <c r="A16" s="2" t="n">
        <v>65263</v>
      </c>
      <c r="B16" s="2" t="s">
        <v>322</v>
      </c>
      <c r="C16" s="2" t="s">
        <v>323</v>
      </c>
      <c r="D16" s="2" t="n">
        <v>100</v>
      </c>
      <c r="E16" s="2" t="s">
        <v>324</v>
      </c>
      <c r="F16" s="2" t="s">
        <v>325</v>
      </c>
      <c r="G16" s="2" t="n">
        <v>4</v>
      </c>
      <c r="H16" s="2" t="n">
        <v>0</v>
      </c>
      <c r="I16" s="2" t="s">
        <v>326</v>
      </c>
      <c r="J16" s="2" t="s">
        <v>327</v>
      </c>
      <c r="K16" s="2" t="s">
        <v>280</v>
      </c>
    </row>
    <row r="17" customFormat="false" ht="28.35" hidden="false" customHeight="false" outlineLevel="0" collapsed="false">
      <c r="A17" s="2" t="n">
        <v>59904</v>
      </c>
      <c r="B17" s="2" t="s">
        <v>328</v>
      </c>
      <c r="C17" s="2" t="s">
        <v>329</v>
      </c>
      <c r="D17" s="2" t="s">
        <v>54</v>
      </c>
      <c r="E17" s="2" t="s">
        <v>330</v>
      </c>
      <c r="F17" s="2" t="s">
        <v>331</v>
      </c>
      <c r="G17" s="2" t="s">
        <v>54</v>
      </c>
      <c r="H17" s="2" t="s">
        <v>54</v>
      </c>
      <c r="I17" s="2" t="s">
        <v>54</v>
      </c>
      <c r="J17" s="2" t="s">
        <v>332</v>
      </c>
      <c r="K17" s="2" t="s">
        <v>333</v>
      </c>
    </row>
    <row r="18" customFormat="false" ht="28.35" hidden="false" customHeight="false" outlineLevel="0" collapsed="false">
      <c r="A18" s="2" t="n">
        <v>65216</v>
      </c>
      <c r="B18" s="2" t="s">
        <v>334</v>
      </c>
      <c r="C18" s="2" t="s">
        <v>335</v>
      </c>
      <c r="D18" s="2" t="n">
        <v>914</v>
      </c>
      <c r="E18" s="2" t="s">
        <v>336</v>
      </c>
      <c r="F18" s="2" t="s">
        <v>277</v>
      </c>
      <c r="G18" s="2" t="s">
        <v>47</v>
      </c>
      <c r="H18" s="2" t="s">
        <v>47</v>
      </c>
      <c r="I18" s="2" t="s">
        <v>294</v>
      </c>
      <c r="J18" s="2" t="s">
        <v>54</v>
      </c>
      <c r="K18" s="2" t="s">
        <v>337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36"/>
    <col collapsed="false" customWidth="true" hidden="false" outlineLevel="0" max="9" min="9" style="0" width="9"/>
  </cols>
  <sheetData>
    <row r="1" customFormat="false" ht="45" hidden="false" customHeight="true" outlineLevel="0" collapsed="false">
      <c r="A1" s="3" t="s">
        <v>338</v>
      </c>
      <c r="B1" s="3"/>
      <c r="C1" s="3"/>
      <c r="D1" s="3"/>
      <c r="E1" s="3"/>
      <c r="F1" s="3"/>
      <c r="G1" s="3"/>
      <c r="H1" s="3"/>
      <c r="I1" s="3"/>
    </row>
    <row r="2" customFormat="false" ht="28.35" hidden="false" customHeight="false" outlineLevel="0" collapsed="false">
      <c r="A2" s="4" t="s">
        <v>339</v>
      </c>
      <c r="B2" s="4" t="s">
        <v>340</v>
      </c>
      <c r="C2" s="4" t="s">
        <v>341</v>
      </c>
      <c r="D2" s="4" t="s">
        <v>342</v>
      </c>
      <c r="E2" s="4" t="s">
        <v>343</v>
      </c>
      <c r="F2" s="4" t="s">
        <v>344</v>
      </c>
      <c r="G2" s="4" t="s">
        <v>345</v>
      </c>
      <c r="H2" s="4" t="s">
        <v>346</v>
      </c>
      <c r="I2" s="4" t="s">
        <v>21</v>
      </c>
    </row>
    <row r="3" customFormat="false" ht="28.35" hidden="false" customHeight="false" outlineLevel="0" collapsed="false">
      <c r="A3" s="2" t="s">
        <v>347</v>
      </c>
      <c r="B3" s="2" t="s">
        <v>203</v>
      </c>
      <c r="C3" s="2" t="s">
        <v>348</v>
      </c>
      <c r="D3" s="2" t="s">
        <v>349</v>
      </c>
      <c r="E3" s="2" t="s">
        <v>350</v>
      </c>
      <c r="F3" s="2" t="s">
        <v>351</v>
      </c>
      <c r="G3" s="2" t="s">
        <v>352</v>
      </c>
      <c r="H3" s="2" t="s">
        <v>353</v>
      </c>
      <c r="I3" s="2" t="s">
        <v>354</v>
      </c>
    </row>
    <row r="4" customFormat="false" ht="15" hidden="false" customHeight="false" outlineLevel="0" collapsed="false">
      <c r="A4" s="2" t="s">
        <v>355</v>
      </c>
      <c r="B4" s="2" t="s">
        <v>203</v>
      </c>
      <c r="C4" s="2" t="s">
        <v>356</v>
      </c>
      <c r="D4" s="2" t="s">
        <v>357</v>
      </c>
      <c r="E4" s="2" t="s">
        <v>358</v>
      </c>
      <c r="F4" s="2" t="s">
        <v>359</v>
      </c>
      <c r="G4" s="2" t="s">
        <v>360</v>
      </c>
      <c r="H4" s="2" t="s">
        <v>361</v>
      </c>
      <c r="I4" s="2" t="s">
        <v>362</v>
      </c>
    </row>
    <row r="5" customFormat="false" ht="15" hidden="false" customHeight="false" outlineLevel="0" collapsed="false">
      <c r="A5" s="2" t="s">
        <v>363</v>
      </c>
      <c r="B5" s="2" t="s">
        <v>203</v>
      </c>
      <c r="C5" s="2" t="s">
        <v>364</v>
      </c>
      <c r="D5" s="2" t="s">
        <v>365</v>
      </c>
      <c r="E5" s="2" t="s">
        <v>366</v>
      </c>
      <c r="F5" s="2" t="s">
        <v>367</v>
      </c>
      <c r="G5" s="2" t="s">
        <v>368</v>
      </c>
      <c r="H5" s="2" t="s">
        <v>369</v>
      </c>
      <c r="I5" s="2" t="s">
        <v>362</v>
      </c>
    </row>
    <row r="6" customFormat="false" ht="28.35" hidden="false" customHeight="false" outlineLevel="0" collapsed="false">
      <c r="A6" s="2" t="s">
        <v>370</v>
      </c>
      <c r="B6" s="2" t="s">
        <v>371</v>
      </c>
      <c r="C6" s="2" t="s">
        <v>372</v>
      </c>
      <c r="D6" s="2" t="s">
        <v>373</v>
      </c>
      <c r="E6" s="2" t="s">
        <v>54</v>
      </c>
      <c r="F6" s="2" t="s">
        <v>374</v>
      </c>
      <c r="G6" s="2" t="s">
        <v>375</v>
      </c>
      <c r="H6" s="2" t="s">
        <v>376</v>
      </c>
      <c r="I6" s="2" t="s">
        <v>377</v>
      </c>
    </row>
    <row r="7" customFormat="false" ht="28.35" hidden="false" customHeight="false" outlineLevel="0" collapsed="false">
      <c r="A7" s="2" t="s">
        <v>378</v>
      </c>
      <c r="B7" s="2" t="s">
        <v>371</v>
      </c>
      <c r="C7" s="2" t="s">
        <v>379</v>
      </c>
      <c r="D7" s="2" t="s">
        <v>373</v>
      </c>
      <c r="E7" s="2" t="s">
        <v>54</v>
      </c>
      <c r="F7" s="2" t="s">
        <v>380</v>
      </c>
      <c r="G7" s="2" t="s">
        <v>381</v>
      </c>
      <c r="H7" s="2" t="s">
        <v>382</v>
      </c>
      <c r="I7" s="2" t="s">
        <v>383</v>
      </c>
    </row>
    <row r="8" customFormat="false" ht="28.35" hidden="false" customHeight="false" outlineLevel="0" collapsed="false">
      <c r="A8" s="2" t="s">
        <v>384</v>
      </c>
      <c r="B8" s="2" t="s">
        <v>203</v>
      </c>
      <c r="C8" s="2" t="s">
        <v>243</v>
      </c>
      <c r="D8" s="2" t="s">
        <v>54</v>
      </c>
      <c r="E8" s="2" t="s">
        <v>54</v>
      </c>
      <c r="F8" s="2" t="s">
        <v>385</v>
      </c>
      <c r="G8" s="2" t="s">
        <v>54</v>
      </c>
      <c r="H8" s="2" t="s">
        <v>386</v>
      </c>
      <c r="I8" s="2" t="s">
        <v>387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34"/>
    <col collapsed="false" customWidth="true" hidden="false" outlineLevel="0" max="7" min="7" style="0" width="26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4" t="s">
        <v>388</v>
      </c>
      <c r="B1" s="4" t="s">
        <v>389</v>
      </c>
      <c r="C1" s="4" t="s">
        <v>390</v>
      </c>
      <c r="D1" s="4" t="s">
        <v>391</v>
      </c>
      <c r="E1" s="4" t="s">
        <v>392</v>
      </c>
      <c r="F1" s="4" t="s">
        <v>393</v>
      </c>
      <c r="G1" s="4" t="s">
        <v>394</v>
      </c>
      <c r="H1" s="4" t="s">
        <v>395</v>
      </c>
    </row>
    <row r="2" customFormat="false" ht="28.35" hidden="false" customHeight="false" outlineLevel="0" collapsed="false">
      <c r="A2" s="2" t="s">
        <v>396</v>
      </c>
      <c r="B2" s="2" t="s">
        <v>397</v>
      </c>
      <c r="C2" s="2" t="s">
        <v>398</v>
      </c>
      <c r="D2" s="2" t="s">
        <v>399</v>
      </c>
      <c r="E2" s="2" t="s">
        <v>400</v>
      </c>
      <c r="F2" s="2" t="s">
        <v>401</v>
      </c>
      <c r="G2" s="2" t="s">
        <v>402</v>
      </c>
      <c r="H2" s="2" t="s">
        <v>403</v>
      </c>
    </row>
    <row r="3" customFormat="false" ht="55.2" hidden="false" customHeight="false" outlineLevel="0" collapsed="false">
      <c r="A3" s="2" t="s">
        <v>404</v>
      </c>
      <c r="B3" s="2" t="s">
        <v>405</v>
      </c>
      <c r="C3" s="2" t="s">
        <v>406</v>
      </c>
      <c r="D3" s="2" t="s">
        <v>407</v>
      </c>
      <c r="E3" s="2" t="s">
        <v>408</v>
      </c>
      <c r="F3" s="2" t="s">
        <v>409</v>
      </c>
      <c r="G3" s="2" t="s">
        <v>410</v>
      </c>
      <c r="H3" s="2" t="s">
        <v>411</v>
      </c>
    </row>
    <row r="4" customFormat="false" ht="41.75" hidden="false" customHeight="false" outlineLevel="0" collapsed="false">
      <c r="A4" s="2" t="s">
        <v>412</v>
      </c>
      <c r="B4" s="2" t="s">
        <v>413</v>
      </c>
      <c r="C4" s="2" t="s">
        <v>414</v>
      </c>
      <c r="D4" s="2" t="s">
        <v>415</v>
      </c>
      <c r="E4" s="2" t="s">
        <v>416</v>
      </c>
      <c r="F4" s="2" t="s">
        <v>417</v>
      </c>
      <c r="G4" s="2" t="s">
        <v>418</v>
      </c>
      <c r="H4" s="2" t="s">
        <v>419</v>
      </c>
    </row>
    <row r="5" customFormat="false" ht="28.35" hidden="false" customHeight="false" outlineLevel="0" collapsed="false">
      <c r="A5" s="2" t="s">
        <v>420</v>
      </c>
      <c r="B5" s="2" t="s">
        <v>421</v>
      </c>
      <c r="C5" s="2" t="s">
        <v>422</v>
      </c>
      <c r="D5" s="2" t="s">
        <v>423</v>
      </c>
      <c r="E5" s="2" t="s">
        <v>424</v>
      </c>
      <c r="F5" s="2" t="s">
        <v>425</v>
      </c>
      <c r="G5" s="2" t="s">
        <v>426</v>
      </c>
      <c r="H5" s="2" t="s">
        <v>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4" t="s">
        <v>428</v>
      </c>
      <c r="B1" s="4" t="s">
        <v>429</v>
      </c>
      <c r="C1" s="4" t="s">
        <v>430</v>
      </c>
      <c r="D1" s="4" t="s">
        <v>21</v>
      </c>
    </row>
    <row r="2" customFormat="false" ht="15" hidden="false" customHeight="false" outlineLevel="0" collapsed="false">
      <c r="A2" s="2" t="s">
        <v>431</v>
      </c>
      <c r="B2" s="2" t="s">
        <v>432</v>
      </c>
      <c r="C2" s="2" t="s">
        <v>433</v>
      </c>
      <c r="D2" s="2" t="s">
        <v>434</v>
      </c>
    </row>
    <row r="3" customFormat="false" ht="15" hidden="false" customHeight="false" outlineLevel="0" collapsed="false">
      <c r="A3" s="2" t="s">
        <v>435</v>
      </c>
      <c r="B3" s="2" t="s">
        <v>436</v>
      </c>
      <c r="C3" s="2" t="s">
        <v>437</v>
      </c>
      <c r="D3" s="2" t="s">
        <v>438</v>
      </c>
    </row>
    <row r="4" customFormat="false" ht="15" hidden="false" customHeight="false" outlineLevel="0" collapsed="false">
      <c r="A4" s="2" t="s">
        <v>439</v>
      </c>
      <c r="B4" s="2" t="s">
        <v>440</v>
      </c>
      <c r="C4" s="2" t="s">
        <v>441</v>
      </c>
      <c r="D4" s="2" t="s">
        <v>54</v>
      </c>
    </row>
    <row r="5" customFormat="false" ht="28.35" hidden="false" customHeight="false" outlineLevel="0" collapsed="false">
      <c r="A5" s="2" t="s">
        <v>442</v>
      </c>
      <c r="B5" s="2" t="s">
        <v>443</v>
      </c>
      <c r="C5" s="2" t="s">
        <v>444</v>
      </c>
      <c r="D5" s="2" t="s">
        <v>47</v>
      </c>
    </row>
    <row r="6" customFormat="false" ht="28.35" hidden="false" customHeight="false" outlineLevel="0" collapsed="false">
      <c r="A6" s="2" t="s">
        <v>445</v>
      </c>
      <c r="B6" s="2" t="s">
        <v>446</v>
      </c>
      <c r="C6" s="2" t="s">
        <v>447</v>
      </c>
      <c r="D6" s="2" t="s">
        <v>47</v>
      </c>
    </row>
    <row r="7" customFormat="false" ht="15" hidden="false" customHeight="false" outlineLevel="0" collapsed="false">
      <c r="A7" s="2" t="s">
        <v>448</v>
      </c>
      <c r="B7" s="2" t="s">
        <v>449</v>
      </c>
      <c r="C7" s="2" t="s">
        <v>450</v>
      </c>
      <c r="D7" s="2" t="s">
        <v>54</v>
      </c>
    </row>
    <row r="8" customFormat="false" ht="28.35" hidden="false" customHeight="false" outlineLevel="0" collapsed="false">
      <c r="A8" s="2" t="s">
        <v>451</v>
      </c>
      <c r="B8" s="2" t="s">
        <v>452</v>
      </c>
      <c r="C8" s="2" t="s">
        <v>453</v>
      </c>
      <c r="D8" s="2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5" min="3" style="0" width="11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5" t="s">
        <v>454</v>
      </c>
    </row>
    <row r="3" customFormat="false" ht="15" hidden="false" customHeight="false" outlineLevel="0" collapsed="false">
      <c r="A3" s="0" t="s">
        <v>455</v>
      </c>
      <c r="C3" s="6" t="n">
        <v>40</v>
      </c>
    </row>
    <row r="4" customFormat="false" ht="15" hidden="false" customHeight="false" outlineLevel="0" collapsed="false">
      <c r="A4" s="0" t="s">
        <v>456</v>
      </c>
      <c r="C4" s="6" t="n">
        <v>300</v>
      </c>
    </row>
    <row r="5" customFormat="false" ht="15" hidden="false" customHeight="false" outlineLevel="0" collapsed="false">
      <c r="A5" s="0" t="s">
        <v>457</v>
      </c>
      <c r="C5" s="6" t="n">
        <v>30</v>
      </c>
    </row>
    <row r="6" customFormat="false" ht="15" hidden="false" customHeight="false" outlineLevel="0" collapsed="false">
      <c r="A6" s="0" t="s">
        <v>458</v>
      </c>
      <c r="C6" s="6" t="n">
        <v>1.3</v>
      </c>
    </row>
    <row r="8" customFormat="false" ht="41.75" hidden="false" customHeight="false" outlineLevel="0" collapsed="false">
      <c r="A8" s="4" t="s">
        <v>459</v>
      </c>
      <c r="B8" s="4" t="s">
        <v>388</v>
      </c>
      <c r="C8" s="4" t="s">
        <v>460</v>
      </c>
      <c r="D8" s="4" t="s">
        <v>461</v>
      </c>
      <c r="E8" s="4" t="s">
        <v>462</v>
      </c>
      <c r="F8" s="4" t="s">
        <v>463</v>
      </c>
      <c r="G8" s="4" t="s">
        <v>464</v>
      </c>
      <c r="H8" s="4" t="s">
        <v>465</v>
      </c>
      <c r="I8" s="4" t="s">
        <v>466</v>
      </c>
      <c r="J8" s="4" t="s">
        <v>467</v>
      </c>
      <c r="K8" s="4" t="s">
        <v>468</v>
      </c>
    </row>
    <row r="9" customFormat="false" ht="15" hidden="false" customHeight="false" outlineLevel="0" collapsed="false">
      <c r="A9" s="0" t="s">
        <v>469</v>
      </c>
      <c r="B9" s="0" t="s">
        <v>470</v>
      </c>
      <c r="C9" s="7" t="n">
        <v>1709</v>
      </c>
      <c r="D9" s="7" t="n">
        <v>59</v>
      </c>
      <c r="E9" s="6" t="n">
        <v>17</v>
      </c>
      <c r="F9" s="6" t="n">
        <v>5</v>
      </c>
      <c r="G9" s="6" t="n">
        <v>3</v>
      </c>
      <c r="H9" s="6" t="n">
        <v>18</v>
      </c>
      <c r="I9" s="8" t="n">
        <f aca="false">C9*D9+ROUNDUP(C9/E9,0)*(F9+G9+2*$C$3)+H9*$C$4</f>
        <v>115119</v>
      </c>
      <c r="J9" s="8" t="n">
        <f aca="false">ROUND(I9*$C$5/1000000,2)</f>
        <v>3.45</v>
      </c>
      <c r="K9" s="8" t="n">
        <f aca="false">ROUNDUP(J9*$C$6/10,0)*10</f>
        <v>10</v>
      </c>
    </row>
    <row r="10" customFormat="false" ht="15" hidden="false" customHeight="false" outlineLevel="0" collapsed="false">
      <c r="A10" s="0" t="s">
        <v>469</v>
      </c>
      <c r="B10" s="0" t="s">
        <v>471</v>
      </c>
      <c r="C10" s="7" t="n">
        <v>1709</v>
      </c>
      <c r="D10" s="7" t="n">
        <v>165</v>
      </c>
      <c r="E10" s="6" t="n">
        <v>100</v>
      </c>
      <c r="F10" s="6" t="n">
        <v>9</v>
      </c>
      <c r="G10" s="6" t="n">
        <v>9</v>
      </c>
      <c r="H10" s="6" t="n">
        <v>18</v>
      </c>
      <c r="I10" s="8" t="n">
        <f aca="false">C10*D10+ROUNDUP(C10/E10,0)*(F10+G10+2*$C$3)+H10*$C$4</f>
        <v>289149</v>
      </c>
      <c r="J10" s="8" t="n">
        <f aca="false">ROUND(I10*$C$5/1000000,2)</f>
        <v>8.67</v>
      </c>
      <c r="K10" s="8" t="n">
        <f aca="false">ROUNDUP(J10*$C$6/10,0)*10</f>
        <v>20</v>
      </c>
    </row>
    <row r="11" customFormat="false" ht="15" hidden="false" customHeight="false" outlineLevel="0" collapsed="false">
      <c r="A11" s="0" t="s">
        <v>469</v>
      </c>
      <c r="B11" s="0" t="s">
        <v>472</v>
      </c>
      <c r="C11" s="7" t="n">
        <v>1709</v>
      </c>
      <c r="D11" s="7" t="n">
        <v>48</v>
      </c>
      <c r="E11" s="6" t="n">
        <v>20</v>
      </c>
      <c r="F11" s="6" t="n">
        <v>13</v>
      </c>
      <c r="G11" s="6" t="n">
        <v>580</v>
      </c>
      <c r="H11" s="6" t="n">
        <v>18</v>
      </c>
      <c r="I11" s="8" t="n">
        <f aca="false">C11*D11+ROUNDUP(C11/E11,0)*(F11+G11+2*$C$3)+H11*$C$4</f>
        <v>145310</v>
      </c>
      <c r="J11" s="8" t="n">
        <f aca="false">ROUND(I11*$C$5/1000000,2)</f>
        <v>4.36</v>
      </c>
      <c r="K11" s="8" t="n">
        <f aca="false">ROUNDUP(J11*$C$6/10,0)*10</f>
        <v>10</v>
      </c>
    </row>
    <row r="12" customFormat="false" ht="15" hidden="false" customHeight="false" outlineLevel="0" collapsed="false">
      <c r="A12" s="0" t="s">
        <v>473</v>
      </c>
      <c r="B12" s="0" t="s">
        <v>470</v>
      </c>
      <c r="C12" s="7" t="n">
        <v>1410</v>
      </c>
      <c r="D12" s="7" t="n">
        <v>39</v>
      </c>
      <c r="E12" s="6" t="n">
        <v>17</v>
      </c>
      <c r="F12" s="6" t="n">
        <v>5</v>
      </c>
      <c r="G12" s="6" t="n">
        <v>3</v>
      </c>
      <c r="H12" s="6" t="n">
        <v>17</v>
      </c>
      <c r="I12" s="8" t="n">
        <f aca="false">C12*D12+ROUNDUP(C12/E12,0)*(F12+G12+2*$C$3)+H12*$C$4</f>
        <v>67394</v>
      </c>
      <c r="J12" s="8" t="n">
        <f aca="false">ROUND(I12*$C$5/1000000,2)</f>
        <v>2.02</v>
      </c>
      <c r="K12" s="8" t="n">
        <f aca="false">ROUNDUP(J12*$C$6/10,0)*10</f>
        <v>10</v>
      </c>
    </row>
    <row r="13" customFormat="false" ht="15" hidden="false" customHeight="false" outlineLevel="0" collapsed="false">
      <c r="A13" s="0" t="s">
        <v>473</v>
      </c>
      <c r="B13" s="0" t="s">
        <v>471</v>
      </c>
      <c r="C13" s="7" t="n">
        <v>1410</v>
      </c>
      <c r="D13" s="7" t="n">
        <v>124</v>
      </c>
      <c r="E13" s="6" t="n">
        <v>100</v>
      </c>
      <c r="F13" s="6" t="n">
        <v>9</v>
      </c>
      <c r="G13" s="6" t="n">
        <v>9</v>
      </c>
      <c r="H13" s="6" t="n">
        <v>17</v>
      </c>
      <c r="I13" s="8" t="n">
        <f aca="false">C13*D13+ROUNDUP(C13/E13,0)*(F13+G13+2*$C$3)+H13*$C$4</f>
        <v>181410</v>
      </c>
      <c r="J13" s="8" t="n">
        <f aca="false">ROUND(I13*$C$5/1000000,2)</f>
        <v>5.44</v>
      </c>
      <c r="K13" s="8" t="n">
        <f aca="false">ROUNDUP(J13*$C$6/10,0)*10</f>
        <v>10</v>
      </c>
    </row>
    <row r="14" customFormat="false" ht="15" hidden="false" customHeight="false" outlineLevel="0" collapsed="false">
      <c r="A14" s="0" t="s">
        <v>473</v>
      </c>
      <c r="B14" s="0" t="s">
        <v>472</v>
      </c>
      <c r="C14" s="7" t="n">
        <v>1410</v>
      </c>
      <c r="D14" s="7" t="n">
        <v>41</v>
      </c>
      <c r="E14" s="6" t="n">
        <v>20</v>
      </c>
      <c r="F14" s="6" t="n">
        <v>13</v>
      </c>
      <c r="G14" s="6" t="n">
        <v>580</v>
      </c>
      <c r="H14" s="6" t="n">
        <v>17</v>
      </c>
      <c r="I14" s="8" t="n">
        <f aca="false">C14*D14+ROUNDUP(C14/E14,0)*(F14+G14+2*$C$3)+H14*$C$4</f>
        <v>110693</v>
      </c>
      <c r="J14" s="8" t="n">
        <f aca="false">ROUND(I14*$C$5/1000000,2)</f>
        <v>3.32</v>
      </c>
      <c r="K14" s="8" t="n">
        <f aca="false">ROUNDUP(J14*$C$6/10,0)*10</f>
        <v>10</v>
      </c>
    </row>
    <row r="15" customFormat="false" ht="15" hidden="false" customHeight="false" outlineLevel="0" collapsed="false">
      <c r="A15" s="0" t="s">
        <v>69</v>
      </c>
      <c r="B15" s="0" t="s">
        <v>470</v>
      </c>
      <c r="C15" s="7" t="n">
        <v>334</v>
      </c>
      <c r="D15" s="7" t="n">
        <v>59</v>
      </c>
      <c r="E15" s="6" t="n">
        <v>17</v>
      </c>
      <c r="F15" s="6" t="n">
        <v>5</v>
      </c>
      <c r="G15" s="6" t="n">
        <v>3</v>
      </c>
      <c r="H15" s="6" t="n">
        <v>1</v>
      </c>
      <c r="I15" s="8" t="n">
        <f aca="false">C15*D15+ROUNDUP(C15/E15,0)*(F15+G15+2*$C$3)+H15*$C$4</f>
        <v>21766</v>
      </c>
      <c r="J15" s="8" t="n">
        <f aca="false">ROUND(I15*$C$5/1000000,2)</f>
        <v>0.65</v>
      </c>
      <c r="K15" s="8" t="n">
        <f aca="false">ROUNDUP(J15*$C$6/10,0)*10</f>
        <v>10</v>
      </c>
    </row>
    <row r="16" customFormat="false" ht="15" hidden="false" customHeight="false" outlineLevel="0" collapsed="false">
      <c r="A16" s="0" t="s">
        <v>69</v>
      </c>
      <c r="B16" s="0" t="s">
        <v>471</v>
      </c>
      <c r="C16" s="7" t="n">
        <v>334</v>
      </c>
      <c r="D16" s="7" t="n">
        <v>165</v>
      </c>
      <c r="E16" s="6" t="n">
        <v>100</v>
      </c>
      <c r="F16" s="6" t="n">
        <v>9</v>
      </c>
      <c r="G16" s="6" t="n">
        <v>9</v>
      </c>
      <c r="H16" s="6" t="n">
        <v>1</v>
      </c>
      <c r="I16" s="8" t="n">
        <f aca="false">C16*D16+ROUNDUP(C16/E16,0)*(F16+G16+2*$C$3)+H16*$C$4</f>
        <v>55802</v>
      </c>
      <c r="J16" s="8" t="n">
        <f aca="false">ROUND(I16*$C$5/1000000,2)</f>
        <v>1.67</v>
      </c>
      <c r="K16" s="8" t="n">
        <f aca="false">ROUNDUP(J16*$C$6/10,0)*10</f>
        <v>10</v>
      </c>
    </row>
    <row r="17" customFormat="false" ht="15" hidden="false" customHeight="false" outlineLevel="0" collapsed="false">
      <c r="A17" s="0" t="s">
        <v>69</v>
      </c>
      <c r="B17" s="0" t="s">
        <v>472</v>
      </c>
      <c r="C17" s="7" t="n">
        <v>334</v>
      </c>
      <c r="D17" s="7" t="n">
        <v>48</v>
      </c>
      <c r="E17" s="6" t="n">
        <v>20</v>
      </c>
      <c r="F17" s="6" t="n">
        <v>13</v>
      </c>
      <c r="G17" s="6" t="n">
        <v>580</v>
      </c>
      <c r="H17" s="6" t="n">
        <v>1</v>
      </c>
      <c r="I17" s="8" t="n">
        <f aca="false">C17*D17+ROUNDUP(C17/E17,0)*(F17+G17+2*$C$3)+H17*$C$4</f>
        <v>27773</v>
      </c>
      <c r="J17" s="8" t="n">
        <f aca="false">ROUND(I17*$C$5/1000000,2)</f>
        <v>0.83</v>
      </c>
      <c r="K17" s="8" t="n">
        <f aca="false">ROUNDUP(J17*$C$6/10,0)*10</f>
        <v>10</v>
      </c>
    </row>
    <row r="18" customFormat="false" ht="15" hidden="false" customHeight="false" outlineLevel="0" collapsed="false">
      <c r="A18" s="0" t="s">
        <v>77</v>
      </c>
      <c r="B18" s="0" t="s">
        <v>470</v>
      </c>
      <c r="C18" s="7" t="n">
        <v>886</v>
      </c>
      <c r="D18" s="7" t="n">
        <v>59</v>
      </c>
      <c r="E18" s="6" t="n">
        <v>17</v>
      </c>
      <c r="F18" s="6" t="n">
        <v>5</v>
      </c>
      <c r="G18" s="6" t="n">
        <v>3</v>
      </c>
      <c r="H18" s="6" t="n">
        <v>20</v>
      </c>
      <c r="I18" s="8" t="n">
        <f aca="false">C18*D18+ROUNDUP(C18/E18,0)*(F18+G18+2*$C$3)+H18*$C$4</f>
        <v>62938</v>
      </c>
      <c r="J18" s="8" t="n">
        <f aca="false">ROUND(I18*$C$5/1000000,2)</f>
        <v>1.89</v>
      </c>
      <c r="K18" s="8" t="n">
        <f aca="false">ROUNDUP(J18*$C$6/10,0)*10</f>
        <v>10</v>
      </c>
    </row>
    <row r="19" customFormat="false" ht="15" hidden="false" customHeight="false" outlineLevel="0" collapsed="false">
      <c r="A19" s="0" t="s">
        <v>77</v>
      </c>
      <c r="B19" s="0" t="s">
        <v>471</v>
      </c>
      <c r="C19" s="7" t="n">
        <v>886</v>
      </c>
      <c r="D19" s="7" t="n">
        <v>165</v>
      </c>
      <c r="E19" s="6" t="n">
        <v>100</v>
      </c>
      <c r="F19" s="6" t="n">
        <v>9</v>
      </c>
      <c r="G19" s="6" t="n">
        <v>9</v>
      </c>
      <c r="H19" s="6" t="n">
        <v>20</v>
      </c>
      <c r="I19" s="8" t="n">
        <f aca="false">C19*D19+ROUNDUP(C19/E19,0)*(F19+G19+2*$C$3)+H19*$C$4</f>
        <v>153072</v>
      </c>
      <c r="J19" s="8" t="n">
        <f aca="false">ROUND(I19*$C$5/1000000,2)</f>
        <v>4.59</v>
      </c>
      <c r="K19" s="8" t="n">
        <f aca="false">ROUNDUP(J19*$C$6/10,0)*10</f>
        <v>10</v>
      </c>
    </row>
    <row r="20" customFormat="false" ht="15" hidden="false" customHeight="false" outlineLevel="0" collapsed="false">
      <c r="A20" s="0" t="s">
        <v>77</v>
      </c>
      <c r="B20" s="0" t="s">
        <v>472</v>
      </c>
      <c r="C20" s="7" t="n">
        <v>886</v>
      </c>
      <c r="D20" s="7" t="n">
        <v>48</v>
      </c>
      <c r="E20" s="6" t="n">
        <v>20</v>
      </c>
      <c r="F20" s="6" t="n">
        <v>13</v>
      </c>
      <c r="G20" s="6" t="n">
        <v>580</v>
      </c>
      <c r="H20" s="6" t="n">
        <v>20</v>
      </c>
      <c r="I20" s="8" t="n">
        <f aca="false">C20*D20+ROUNDUP(C20/E20,0)*(F20+G20+2*$C$3)+H20*$C$4</f>
        <v>78813</v>
      </c>
      <c r="J20" s="8" t="n">
        <f aca="false">ROUND(I20*$C$5/1000000,2)</f>
        <v>2.36</v>
      </c>
      <c r="K20" s="8" t="n">
        <f aca="false">ROUNDUP(J20*$C$6/10,0)*10</f>
        <v>10</v>
      </c>
    </row>
    <row r="21" customFormat="false" ht="15" hidden="false" customHeight="false" outlineLevel="0" collapsed="false">
      <c r="A21" s="0" t="s">
        <v>474</v>
      </c>
      <c r="B21" s="0" t="s">
        <v>470</v>
      </c>
      <c r="C21" s="7" t="n">
        <v>298</v>
      </c>
      <c r="D21" s="7" t="n">
        <v>59</v>
      </c>
      <c r="E21" s="6" t="n">
        <v>17</v>
      </c>
      <c r="F21" s="6" t="n">
        <v>5</v>
      </c>
      <c r="G21" s="6" t="n">
        <v>3</v>
      </c>
      <c r="H21" s="6" t="n">
        <v>3</v>
      </c>
      <c r="I21" s="8" t="n">
        <f aca="false">C21*D21+ROUNDUP(C21/E21,0)*(F21+G21+2*$C$3)+H21*$C$4</f>
        <v>20066</v>
      </c>
      <c r="J21" s="8" t="n">
        <f aca="false">ROUND(I21*$C$5/1000000,2)</f>
        <v>0.6</v>
      </c>
      <c r="K21" s="8" t="n">
        <f aca="false">ROUNDUP(J21*$C$6/10,0)*10</f>
        <v>10</v>
      </c>
    </row>
    <row r="22" customFormat="false" ht="15" hidden="false" customHeight="false" outlineLevel="0" collapsed="false">
      <c r="A22" s="0" t="s">
        <v>474</v>
      </c>
      <c r="B22" s="0" t="s">
        <v>471</v>
      </c>
      <c r="C22" s="7" t="n">
        <v>298</v>
      </c>
      <c r="D22" s="7" t="n">
        <v>165</v>
      </c>
      <c r="E22" s="6" t="n">
        <v>100</v>
      </c>
      <c r="F22" s="6" t="n">
        <v>9</v>
      </c>
      <c r="G22" s="6" t="n">
        <v>9</v>
      </c>
      <c r="H22" s="6" t="n">
        <v>3</v>
      </c>
      <c r="I22" s="8" t="n">
        <f aca="false">C22*D22+ROUNDUP(C22/E22,0)*(F22+G22+2*$C$3)+H22*$C$4</f>
        <v>50364</v>
      </c>
      <c r="J22" s="8" t="n">
        <f aca="false">ROUND(I22*$C$5/1000000,2)</f>
        <v>1.51</v>
      </c>
      <c r="K22" s="8" t="n">
        <f aca="false">ROUNDUP(J22*$C$6/10,0)*10</f>
        <v>10</v>
      </c>
    </row>
    <row r="23" customFormat="false" ht="15" hidden="false" customHeight="false" outlineLevel="0" collapsed="false">
      <c r="A23" s="0" t="s">
        <v>474</v>
      </c>
      <c r="B23" s="0" t="s">
        <v>472</v>
      </c>
      <c r="C23" s="7" t="n">
        <v>298</v>
      </c>
      <c r="D23" s="7" t="n">
        <v>48</v>
      </c>
      <c r="E23" s="6" t="n">
        <v>20</v>
      </c>
      <c r="F23" s="6" t="n">
        <v>13</v>
      </c>
      <c r="G23" s="6" t="n">
        <v>580</v>
      </c>
      <c r="H23" s="6" t="n">
        <v>3</v>
      </c>
      <c r="I23" s="8" t="n">
        <f aca="false">C23*D23+ROUNDUP(C23/E23,0)*(F23+G23+2*$C$3)+H23*$C$4</f>
        <v>25299</v>
      </c>
      <c r="J23" s="8" t="n">
        <f aca="false">ROUND(I23*$C$5/1000000,2)</f>
        <v>0.76</v>
      </c>
      <c r="K23" s="8" t="n">
        <f aca="false">ROUNDUP(J23*$C$6/10,0)*10</f>
        <v>10</v>
      </c>
    </row>
    <row r="24" customFormat="false" ht="15" hidden="false" customHeight="false" outlineLevel="0" collapsed="false">
      <c r="A24" s="0" t="s">
        <v>102</v>
      </c>
      <c r="B24" s="0" t="s">
        <v>470</v>
      </c>
      <c r="C24" s="7" t="n">
        <v>1943</v>
      </c>
      <c r="D24" s="7" t="n">
        <v>59</v>
      </c>
      <c r="E24" s="6" t="n">
        <v>17</v>
      </c>
      <c r="F24" s="6" t="n">
        <v>5</v>
      </c>
      <c r="G24" s="6" t="n">
        <v>3</v>
      </c>
      <c r="H24" s="6" t="n">
        <v>4</v>
      </c>
      <c r="I24" s="8" t="n">
        <f aca="false">C24*D24+ROUNDUP(C24/E24,0)*(F24+G24+2*$C$3)+H24*$C$4</f>
        <v>125957</v>
      </c>
      <c r="J24" s="8" t="n">
        <f aca="false">ROUND(I24*$C$5/1000000,2)</f>
        <v>3.78</v>
      </c>
      <c r="K24" s="8" t="n">
        <f aca="false">ROUNDUP(J24*$C$6/10,0)*10</f>
        <v>10</v>
      </c>
    </row>
    <row r="25" customFormat="false" ht="15" hidden="false" customHeight="false" outlineLevel="0" collapsed="false">
      <c r="A25" s="0" t="s">
        <v>102</v>
      </c>
      <c r="B25" s="0" t="s">
        <v>471</v>
      </c>
      <c r="C25" s="7" t="n">
        <v>1943</v>
      </c>
      <c r="D25" s="7" t="n">
        <v>165</v>
      </c>
      <c r="E25" s="6" t="n">
        <v>100</v>
      </c>
      <c r="F25" s="6" t="n">
        <v>9</v>
      </c>
      <c r="G25" s="6" t="n">
        <v>9</v>
      </c>
      <c r="H25" s="6" t="n">
        <v>4</v>
      </c>
      <c r="I25" s="8" t="n">
        <f aca="false">C25*D25+ROUNDUP(C25/E25,0)*(F25+G25+2*$C$3)+H25*$C$4</f>
        <v>323755</v>
      </c>
      <c r="J25" s="8" t="n">
        <f aca="false">ROUND(I25*$C$5/1000000,2)</f>
        <v>9.71</v>
      </c>
      <c r="K25" s="8" t="n">
        <f aca="false">ROUNDUP(J25*$C$6/10,0)*10</f>
        <v>20</v>
      </c>
    </row>
    <row r="26" customFormat="false" ht="15" hidden="false" customHeight="false" outlineLevel="0" collapsed="false">
      <c r="A26" s="0" t="s">
        <v>102</v>
      </c>
      <c r="B26" s="0" t="s">
        <v>472</v>
      </c>
      <c r="C26" s="7" t="n">
        <v>1943</v>
      </c>
      <c r="D26" s="7" t="n">
        <v>48</v>
      </c>
      <c r="E26" s="6" t="n">
        <v>20</v>
      </c>
      <c r="F26" s="6" t="n">
        <v>13</v>
      </c>
      <c r="G26" s="6" t="n">
        <v>580</v>
      </c>
      <c r="H26" s="6" t="n">
        <v>4</v>
      </c>
      <c r="I26" s="8" t="n">
        <f aca="false">C26*D26+ROUNDUP(C26/E26,0)*(F26+G26+2*$C$3)+H26*$C$4</f>
        <v>160418</v>
      </c>
      <c r="J26" s="8" t="n">
        <f aca="false">ROUND(I26*$C$5/1000000,2)</f>
        <v>4.81</v>
      </c>
      <c r="K26" s="8" t="n">
        <f aca="false">ROUNDUP(J26*$C$6/10,0)*10</f>
        <v>10</v>
      </c>
    </row>
    <row r="27" customFormat="false" ht="15" hidden="false" customHeight="false" outlineLevel="0" collapsed="false">
      <c r="A27" s="0" t="s">
        <v>89</v>
      </c>
      <c r="B27" s="0" t="s">
        <v>470</v>
      </c>
      <c r="C27" s="7" t="n">
        <v>1428</v>
      </c>
      <c r="D27" s="7" t="n">
        <v>59</v>
      </c>
      <c r="E27" s="6" t="n">
        <v>17</v>
      </c>
      <c r="F27" s="6" t="n">
        <v>5</v>
      </c>
      <c r="G27" s="6" t="n">
        <v>3</v>
      </c>
      <c r="H27" s="6" t="n">
        <v>6</v>
      </c>
      <c r="I27" s="8" t="n">
        <f aca="false">C27*D27+ROUNDUP(C27/E27,0)*(F27+G27+2*$C$3)+H27*$C$4</f>
        <v>93444</v>
      </c>
      <c r="J27" s="8" t="n">
        <f aca="false">ROUND(I27*$C$5/1000000,2)</f>
        <v>2.8</v>
      </c>
      <c r="K27" s="8" t="n">
        <f aca="false">ROUNDUP(J27*$C$6/10,0)*10</f>
        <v>10</v>
      </c>
    </row>
    <row r="28" customFormat="false" ht="15" hidden="false" customHeight="false" outlineLevel="0" collapsed="false">
      <c r="A28" s="0" t="s">
        <v>89</v>
      </c>
      <c r="B28" s="0" t="s">
        <v>471</v>
      </c>
      <c r="C28" s="7" t="n">
        <v>1428</v>
      </c>
      <c r="D28" s="7" t="n">
        <v>165</v>
      </c>
      <c r="E28" s="6" t="n">
        <v>100</v>
      </c>
      <c r="F28" s="6" t="n">
        <v>9</v>
      </c>
      <c r="G28" s="6" t="n">
        <v>9</v>
      </c>
      <c r="H28" s="6" t="n">
        <v>6</v>
      </c>
      <c r="I28" s="8" t="n">
        <f aca="false">C28*D28+ROUNDUP(C28/E28,0)*(F28+G28+2*$C$3)+H28*$C$4</f>
        <v>238890</v>
      </c>
      <c r="J28" s="8" t="n">
        <f aca="false">ROUND(I28*$C$5/1000000,2)</f>
        <v>7.17</v>
      </c>
      <c r="K28" s="8" t="n">
        <f aca="false">ROUNDUP(J28*$C$6/10,0)*10</f>
        <v>10</v>
      </c>
    </row>
    <row r="29" customFormat="false" ht="15" hidden="false" customHeight="false" outlineLevel="0" collapsed="false">
      <c r="A29" s="0" t="s">
        <v>89</v>
      </c>
      <c r="B29" s="0" t="s">
        <v>472</v>
      </c>
      <c r="C29" s="7" t="n">
        <v>1428</v>
      </c>
      <c r="D29" s="7" t="n">
        <v>48</v>
      </c>
      <c r="E29" s="6" t="n">
        <v>20</v>
      </c>
      <c r="F29" s="6" t="n">
        <v>13</v>
      </c>
      <c r="G29" s="6" t="n">
        <v>580</v>
      </c>
      <c r="H29" s="6" t="n">
        <v>6</v>
      </c>
      <c r="I29" s="8" t="n">
        <f aca="false">C29*D29+ROUNDUP(C29/E29,0)*(F29+G29+2*$C$3)+H29*$C$4</f>
        <v>118800</v>
      </c>
      <c r="J29" s="8" t="n">
        <f aca="false">ROUND(I29*$C$5/1000000,2)</f>
        <v>3.56</v>
      </c>
      <c r="K29" s="8" t="n">
        <f aca="false">ROUNDUP(J29*$C$6/10,0)*10</f>
        <v>10</v>
      </c>
    </row>
    <row r="31" customFormat="false" ht="15" hidden="false" customHeight="false" outlineLevel="0" collapsed="false">
      <c r="A31" s="5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5" t="s">
        <v>476</v>
      </c>
    </row>
    <row r="3" customFormat="false" ht="15" hidden="false" customHeight="false" outlineLevel="0" collapsed="false">
      <c r="A3" s="0" t="s">
        <v>477</v>
      </c>
      <c r="B3" s="6" t="n">
        <v>10000</v>
      </c>
    </row>
    <row r="4" customFormat="false" ht="15" hidden="false" customHeight="false" outlineLevel="0" collapsed="false">
      <c r="A4" s="0" t="s">
        <v>478</v>
      </c>
      <c r="B4" s="6" t="n">
        <v>700</v>
      </c>
    </row>
    <row r="5" customFormat="false" ht="15" hidden="false" customHeight="false" outlineLevel="0" collapsed="false">
      <c r="A5" s="0" t="s">
        <v>479</v>
      </c>
      <c r="B5" s="6" t="n">
        <v>200</v>
      </c>
    </row>
    <row r="6" customFormat="false" ht="15" hidden="false" customHeight="false" outlineLevel="0" collapsed="false">
      <c r="A6" s="0" t="s">
        <v>480</v>
      </c>
      <c r="B6" s="6" t="n">
        <v>0.1</v>
      </c>
    </row>
    <row r="7" customFormat="false" ht="15" hidden="false" customHeight="false" outlineLevel="0" collapsed="false">
      <c r="A7" s="0" t="s">
        <v>481</v>
      </c>
      <c r="B7" s="6" t="n">
        <v>1095</v>
      </c>
    </row>
    <row r="8" customFormat="false" ht="15" hidden="false" customHeight="false" outlineLevel="0" collapsed="false">
      <c r="A8" s="0" t="s">
        <v>482</v>
      </c>
      <c r="B8" s="6" t="n">
        <v>2</v>
      </c>
    </row>
    <row r="9" customFormat="false" ht="15" hidden="false" customHeight="false" outlineLevel="0" collapsed="false">
      <c r="A9" s="0" t="s">
        <v>483</v>
      </c>
      <c r="B9" s="6" t="n">
        <v>0.3</v>
      </c>
    </row>
    <row r="10" customFormat="false" ht="15" hidden="false" customHeight="false" outlineLevel="0" collapsed="false">
      <c r="A10" s="0" t="s">
        <v>484</v>
      </c>
      <c r="B10" s="6" t="n">
        <v>3</v>
      </c>
    </row>
    <row r="12" customFormat="false" ht="15" hidden="false" customHeight="false" outlineLevel="0" collapsed="false">
      <c r="A12" s="1" t="s">
        <v>485</v>
      </c>
      <c r="B12" s="8" t="n">
        <f aca="false">B3*B4</f>
        <v>7000000</v>
      </c>
    </row>
    <row r="13" customFormat="false" ht="15" hidden="false" customHeight="false" outlineLevel="0" collapsed="false">
      <c r="A13" s="1" t="s">
        <v>486</v>
      </c>
      <c r="B13" s="8" t="n">
        <f aca="false">ROUND(B3*B4/86400,1)</f>
        <v>81</v>
      </c>
    </row>
    <row r="14" customFormat="false" ht="15" hidden="false" customHeight="false" outlineLevel="0" collapsed="false">
      <c r="A14" s="1" t="s">
        <v>487</v>
      </c>
      <c r="B14" s="8" t="n">
        <f aca="false">ROUND(B3*B4/86400*B10,1)</f>
        <v>243.1</v>
      </c>
    </row>
    <row r="15" customFormat="false" ht="15" hidden="false" customHeight="false" outlineLevel="0" collapsed="false">
      <c r="A15" s="1" t="s">
        <v>488</v>
      </c>
      <c r="B15" s="8" t="n">
        <f aca="false">ROUND(B3*B4*B5/1000000000,2)</f>
        <v>1.4</v>
      </c>
    </row>
    <row r="16" customFormat="false" ht="15" hidden="false" customHeight="false" outlineLevel="0" collapsed="false">
      <c r="A16" s="1" t="s">
        <v>489</v>
      </c>
      <c r="B16" s="8" t="n">
        <f aca="false">ROUND(B3*B4*B5*B7*B6*B8*(1+B9)/1000000000000,2)</f>
        <v>0.4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13"/>
    <col collapsed="false" customWidth="true" hidden="false" outlineLevel="0" max="10" min="10" style="0" width="12"/>
    <col collapsed="false" customWidth="true" hidden="false" outlineLevel="0" max="13" min="11" style="0" width="13"/>
    <col collapsed="false" customWidth="true" hidden="false" outlineLevel="0" max="14" min="14" style="0" width="14"/>
  </cols>
  <sheetData>
    <row r="1" customFormat="false" ht="39.75" hidden="false" customHeight="true" outlineLevel="0" collapsed="false">
      <c r="A1" s="9" t="s">
        <v>490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3" customFormat="false" ht="41.75" hidden="false" customHeight="false" outlineLevel="0" collapsed="false">
      <c r="A3" s="4" t="s">
        <v>182</v>
      </c>
      <c r="B3" s="4" t="s">
        <v>491</v>
      </c>
      <c r="C3" s="4" t="s">
        <v>492</v>
      </c>
      <c r="D3" s="4" t="s">
        <v>493</v>
      </c>
      <c r="E3" s="4" t="s">
        <v>494</v>
      </c>
      <c r="F3" s="4" t="s">
        <v>495</v>
      </c>
      <c r="G3" s="4" t="s">
        <v>496</v>
      </c>
      <c r="H3" s="4" t="s">
        <v>497</v>
      </c>
      <c r="I3" s="4" t="s">
        <v>498</v>
      </c>
      <c r="J3" s="4" t="s">
        <v>499</v>
      </c>
      <c r="K3" s="4" t="s">
        <v>500</v>
      </c>
      <c r="L3" s="4" t="s">
        <v>501</v>
      </c>
      <c r="M3" s="4" t="s">
        <v>502</v>
      </c>
      <c r="N3" s="4" t="s">
        <v>503</v>
      </c>
    </row>
    <row r="4" customFormat="false" ht="15" hidden="false" customHeight="false" outlineLevel="0" collapsed="false">
      <c r="A4" s="0" t="s">
        <v>504</v>
      </c>
      <c r="B4" s="6" t="n">
        <v>100</v>
      </c>
      <c r="C4" s="7" t="n">
        <v>1460</v>
      </c>
      <c r="D4" s="10" t="n">
        <v>500</v>
      </c>
      <c r="E4" s="10" t="n">
        <v>30</v>
      </c>
      <c r="F4" s="10" t="n">
        <v>20</v>
      </c>
      <c r="G4" s="6" t="n">
        <v>0.005</v>
      </c>
      <c r="H4" s="10" t="n">
        <v>2000</v>
      </c>
      <c r="I4" s="10" t="n">
        <v>80</v>
      </c>
      <c r="J4" s="8" t="n">
        <f aca="false">ROUND(C4/D4,2)</f>
        <v>2.92</v>
      </c>
      <c r="K4" s="8" t="n">
        <f aca="false">ROUND(J4*E4+C4*F4*G4,0)</f>
        <v>234</v>
      </c>
      <c r="L4" s="8" t="n">
        <f aca="false">ROUND(C4/H4*I4,0)</f>
        <v>58</v>
      </c>
      <c r="M4" s="8" t="n">
        <f aca="false">K4+L4</f>
        <v>292</v>
      </c>
      <c r="N4" s="8" t="n">
        <f aca="false">M4*B4</f>
        <v>29200</v>
      </c>
    </row>
    <row r="5" customFormat="false" ht="15" hidden="false" customHeight="false" outlineLevel="0" collapsed="false">
      <c r="A5" s="0" t="s">
        <v>32</v>
      </c>
      <c r="B5" s="6" t="n">
        <v>100</v>
      </c>
      <c r="C5" s="7" t="n">
        <v>1460</v>
      </c>
      <c r="D5" s="10" t="n">
        <v>250</v>
      </c>
      <c r="E5" s="10" t="n">
        <v>15</v>
      </c>
      <c r="F5" s="10" t="n">
        <v>9</v>
      </c>
      <c r="G5" s="6" t="n">
        <v>0.005</v>
      </c>
      <c r="H5" s="10" t="n">
        <v>1000</v>
      </c>
      <c r="I5" s="10" t="n">
        <v>30</v>
      </c>
      <c r="J5" s="8" t="n">
        <f aca="false">ROUND(C5/D5,2)</f>
        <v>5.84</v>
      </c>
      <c r="K5" s="8" t="n">
        <f aca="false">ROUND(J5*E5+C5*F5*G5,0)</f>
        <v>153</v>
      </c>
      <c r="L5" s="8" t="n">
        <f aca="false">ROUND(C5/H5*I5,0)</f>
        <v>44</v>
      </c>
      <c r="M5" s="8" t="n">
        <f aca="false">K5+L5</f>
        <v>197</v>
      </c>
      <c r="N5" s="8" t="n">
        <f aca="false">M5*B5</f>
        <v>19700</v>
      </c>
    </row>
    <row r="6" customFormat="false" ht="15" hidden="false" customHeight="false" outlineLevel="0" collapsed="false">
      <c r="A6" s="0" t="s">
        <v>505</v>
      </c>
      <c r="B6" s="6" t="n">
        <v>20</v>
      </c>
      <c r="C6" s="7" t="n">
        <v>4534</v>
      </c>
      <c r="D6" s="10" t="n">
        <v>500</v>
      </c>
      <c r="E6" s="10" t="n">
        <v>25</v>
      </c>
      <c r="F6" s="10" t="n">
        <v>14</v>
      </c>
      <c r="G6" s="6" t="n">
        <v>0.005</v>
      </c>
      <c r="H6" s="10" t="n">
        <v>2000</v>
      </c>
      <c r="I6" s="10" t="n">
        <v>250</v>
      </c>
      <c r="J6" s="8" t="n">
        <f aca="false">ROUND(C6/D6,2)</f>
        <v>9.07</v>
      </c>
      <c r="K6" s="8" t="n">
        <f aca="false">ROUND(J6*E6+C6*F6*G6,0)</f>
        <v>544</v>
      </c>
      <c r="L6" s="8" t="n">
        <f aca="false">ROUND(C6/H6*I6,0)</f>
        <v>567</v>
      </c>
      <c r="M6" s="8" t="n">
        <f aca="false">K6+L6</f>
        <v>1111</v>
      </c>
      <c r="N6" s="8" t="n">
        <f aca="false">M6*B6</f>
        <v>22220</v>
      </c>
    </row>
    <row r="7" customFormat="false" ht="15" hidden="false" customHeight="false" outlineLevel="0" collapsed="false">
      <c r="A7" s="0" t="s">
        <v>506</v>
      </c>
      <c r="B7" s="6" t="n">
        <v>10</v>
      </c>
      <c r="C7" s="7" t="n">
        <v>6097</v>
      </c>
      <c r="D7" s="10" t="n">
        <v>500</v>
      </c>
      <c r="E7" s="10" t="n">
        <v>40</v>
      </c>
      <c r="F7" s="10" t="n">
        <v>18</v>
      </c>
      <c r="G7" s="6" t="n">
        <v>0.005</v>
      </c>
      <c r="H7" s="10" t="n">
        <v>4000</v>
      </c>
      <c r="I7" s="10" t="n">
        <v>400</v>
      </c>
      <c r="J7" s="8" t="n">
        <f aca="false">ROUND(C7/D7,2)</f>
        <v>12.19</v>
      </c>
      <c r="K7" s="8" t="n">
        <f aca="false">ROUND(J7*E7+C7*F7*G7,0)</f>
        <v>1036</v>
      </c>
      <c r="L7" s="8" t="n">
        <f aca="false">ROUND(C7/H7*I7,0)</f>
        <v>610</v>
      </c>
      <c r="M7" s="8" t="n">
        <f aca="false">K7+L7</f>
        <v>1646</v>
      </c>
      <c r="N7" s="8" t="n">
        <f aca="false">M7*B7</f>
        <v>16460</v>
      </c>
    </row>
    <row r="8" customFormat="false" ht="15" hidden="false" customHeight="false" outlineLevel="0" collapsed="false">
      <c r="A8" s="0" t="s">
        <v>102</v>
      </c>
      <c r="B8" s="6" t="n">
        <v>20</v>
      </c>
      <c r="C8" s="7" t="n">
        <v>5924</v>
      </c>
      <c r="D8" s="10" t="n">
        <v>500</v>
      </c>
      <c r="E8" s="10" t="n">
        <v>100</v>
      </c>
      <c r="F8" s="10" t="n">
        <v>45</v>
      </c>
      <c r="G8" s="6" t="n">
        <v>0.005</v>
      </c>
      <c r="H8" s="10" t="n">
        <v>4000</v>
      </c>
      <c r="I8" s="10" t="n">
        <v>400</v>
      </c>
      <c r="J8" s="8" t="n">
        <f aca="false">ROUND(C8/D8,2)</f>
        <v>11.85</v>
      </c>
      <c r="K8" s="8" t="n">
        <f aca="false">ROUND(J8*E8+C8*F8*G8,0)</f>
        <v>2518</v>
      </c>
      <c r="L8" s="8" t="n">
        <f aca="false">ROUND(C8/H8*I8,0)</f>
        <v>592</v>
      </c>
      <c r="M8" s="8" t="n">
        <f aca="false">K8+L8</f>
        <v>3110</v>
      </c>
      <c r="N8" s="8" t="n">
        <f aca="false">M8*B8</f>
        <v>62200</v>
      </c>
    </row>
    <row r="9" customFormat="false" ht="15" hidden="false" customHeight="false" outlineLevel="0" collapsed="false">
      <c r="A9" s="0" t="s">
        <v>507</v>
      </c>
      <c r="B9" s="6" t="n">
        <v>30</v>
      </c>
      <c r="C9" s="7" t="n">
        <v>3074</v>
      </c>
      <c r="D9" s="10" t="n">
        <v>500</v>
      </c>
      <c r="E9" s="10" t="n">
        <v>30</v>
      </c>
      <c r="F9" s="10" t="n">
        <v>20</v>
      </c>
      <c r="G9" s="6" t="n">
        <v>0.005</v>
      </c>
      <c r="H9" s="10" t="n">
        <v>2000</v>
      </c>
      <c r="I9" s="10" t="n">
        <v>150</v>
      </c>
      <c r="J9" s="8" t="n">
        <f aca="false">ROUND(C9/D9,2)</f>
        <v>6.15</v>
      </c>
      <c r="K9" s="8" t="n">
        <f aca="false">ROUND(J9*E9+C9*F9*G9,0)</f>
        <v>492</v>
      </c>
      <c r="L9" s="8" t="n">
        <f aca="false">ROUND(C9/H9*I9,0)</f>
        <v>231</v>
      </c>
      <c r="M9" s="8" t="n">
        <f aca="false">K9+L9</f>
        <v>723</v>
      </c>
      <c r="N9" s="8" t="n">
        <f aca="false">M9*B9</f>
        <v>21690</v>
      </c>
    </row>
    <row r="10" customFormat="false" ht="15" hidden="false" customHeight="false" outlineLevel="0" collapsed="false">
      <c r="A10" s="1" t="s">
        <v>508</v>
      </c>
      <c r="B10" s="8" t="n">
        <f aca="false">SUM(B4:B9)</f>
        <v>280</v>
      </c>
      <c r="N10" s="8" t="n">
        <f aca="false">SUM(N4:N9)</f>
        <v>171470</v>
      </c>
    </row>
  </sheetData>
  <mergeCells count="1">
    <mergeCell ref="A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5" t="s">
        <v>509</v>
      </c>
    </row>
    <row r="3" customFormat="false" ht="15" hidden="false" customHeight="false" outlineLevel="0" collapsed="false">
      <c r="A3" s="0" t="s">
        <v>510</v>
      </c>
      <c r="B3" s="6" t="n">
        <v>17130</v>
      </c>
    </row>
    <row r="4" customFormat="false" ht="15" hidden="false" customHeight="false" outlineLevel="0" collapsed="false">
      <c r="A4" s="0" t="s">
        <v>511</v>
      </c>
      <c r="B4" s="6" t="n">
        <v>10000</v>
      </c>
    </row>
    <row r="5" customFormat="false" ht="15" hidden="false" customHeight="false" outlineLevel="0" collapsed="false">
      <c r="A5" s="0" t="s">
        <v>512</v>
      </c>
      <c r="B5" s="10" t="n">
        <v>0.5</v>
      </c>
    </row>
    <row r="6" customFormat="false" ht="15" hidden="false" customHeight="false" outlineLevel="0" collapsed="false">
      <c r="A6" s="0" t="s">
        <v>513</v>
      </c>
      <c r="B6" s="10" t="n">
        <v>5000</v>
      </c>
    </row>
    <row r="7" customFormat="false" ht="15" hidden="false" customHeight="false" outlineLevel="0" collapsed="false">
      <c r="A7" s="0" t="s">
        <v>514</v>
      </c>
      <c r="B7" s="10" t="n">
        <v>1500</v>
      </c>
    </row>
    <row r="8" customFormat="false" ht="15" hidden="false" customHeight="false" outlineLevel="0" collapsed="false">
      <c r="A8" s="0" t="s">
        <v>515</v>
      </c>
      <c r="B8" s="10" t="n">
        <v>150</v>
      </c>
    </row>
    <row r="9" customFormat="false" ht="15" hidden="false" customHeight="false" outlineLevel="0" collapsed="false">
      <c r="A9" s="0" t="s">
        <v>516</v>
      </c>
      <c r="B9" s="10" t="n">
        <v>250000</v>
      </c>
    </row>
    <row r="10" customFormat="false" ht="15" hidden="false" customHeight="false" outlineLevel="0" collapsed="false">
      <c r="A10" s="0" t="s">
        <v>517</v>
      </c>
      <c r="B10" s="6" t="n">
        <v>1000</v>
      </c>
    </row>
    <row r="11" customFormat="false" ht="15" hidden="false" customHeight="false" outlineLevel="0" collapsed="false">
      <c r="A11" s="0" t="s">
        <v>518</v>
      </c>
      <c r="B11" s="10" t="n">
        <v>50</v>
      </c>
    </row>
    <row r="13" customFormat="false" ht="15" hidden="false" customHeight="false" outlineLevel="0" collapsed="false">
      <c r="A13" s="1" t="s">
        <v>519</v>
      </c>
      <c r="B13" s="8" t="n">
        <f aca="false">B3+B4*B5+B6+B7</f>
        <v>28630</v>
      </c>
    </row>
    <row r="14" customFormat="false" ht="15" hidden="false" customHeight="false" outlineLevel="0" collapsed="false">
      <c r="A14" s="1" t="s">
        <v>520</v>
      </c>
      <c r="B14" s="8" t="n">
        <f aca="false">ROUND(B8+B9/B10+B11,0)</f>
        <v>450</v>
      </c>
    </row>
    <row r="15" customFormat="false" ht="15" hidden="false" customHeight="false" outlineLevel="0" collapsed="false">
      <c r="A15" s="1" t="s">
        <v>521</v>
      </c>
      <c r="B15" s="8" t="n">
        <f aca="false">B14*12</f>
        <v>5400</v>
      </c>
    </row>
    <row r="16" customFormat="false" ht="15" hidden="false" customHeight="false" outlineLevel="0" collapsed="false">
      <c r="A16" s="1" t="s">
        <v>522</v>
      </c>
      <c r="B16" s="8" t="n">
        <f aca="false">B13+B15*3</f>
        <v>44830</v>
      </c>
    </row>
    <row r="17" customFormat="false" ht="15" hidden="false" customHeight="false" outlineLevel="0" collapsed="false">
      <c r="A17" s="1" t="s">
        <v>523</v>
      </c>
      <c r="B17" s="8" t="n">
        <f aca="false">B16*B10</f>
        <v>44830000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4" min="3" style="0" width="11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1" min="10" style="0" width="13"/>
    <col collapsed="false" customWidth="true" hidden="false" outlineLevel="0" max="13" min="12" style="0" width="12"/>
  </cols>
  <sheetData>
    <row r="1" customFormat="false" ht="45" hidden="false" customHeight="true" outlineLevel="0" collapsed="false">
      <c r="A1" s="3" t="s">
        <v>524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55.2" hidden="false" customHeight="false" outlineLevel="0" collapsed="false">
      <c r="A2" s="4" t="s">
        <v>459</v>
      </c>
      <c r="B2" s="4" t="s">
        <v>525</v>
      </c>
      <c r="C2" s="4" t="s">
        <v>526</v>
      </c>
      <c r="D2" s="4" t="s">
        <v>527</v>
      </c>
      <c r="E2" s="4" t="s">
        <v>528</v>
      </c>
      <c r="F2" s="4" t="s">
        <v>529</v>
      </c>
      <c r="G2" s="4" t="s">
        <v>530</v>
      </c>
      <c r="H2" s="4" t="s">
        <v>531</v>
      </c>
      <c r="I2" s="4" t="s">
        <v>532</v>
      </c>
      <c r="J2" s="4" t="s">
        <v>533</v>
      </c>
      <c r="K2" s="4" t="s">
        <v>534</v>
      </c>
      <c r="L2" s="4" t="s">
        <v>535</v>
      </c>
      <c r="M2" s="4" t="s">
        <v>536</v>
      </c>
    </row>
    <row r="3" customFormat="false" ht="28.35" hidden="false" customHeight="false" outlineLevel="0" collapsed="false">
      <c r="A3" s="11" t="s">
        <v>469</v>
      </c>
      <c r="B3" s="11" t="n">
        <v>85.14</v>
      </c>
      <c r="C3" s="11" t="n">
        <v>5.09</v>
      </c>
      <c r="D3" s="11" t="n">
        <v>-0.02</v>
      </c>
      <c r="E3" s="11" t="n">
        <v>-0.02</v>
      </c>
      <c r="F3" s="11" t="n">
        <v>25.5</v>
      </c>
      <c r="G3" s="11" t="n">
        <v>92</v>
      </c>
      <c r="H3" s="11" t="n">
        <v>0.051</v>
      </c>
      <c r="I3" s="11" t="n">
        <v>833.39</v>
      </c>
      <c r="J3" s="11" t="n">
        <v>941.23</v>
      </c>
      <c r="K3" s="11" t="n">
        <v>837.49</v>
      </c>
      <c r="L3" s="11" t="n">
        <v>832.99</v>
      </c>
      <c r="M3" s="11" t="s">
        <v>54</v>
      </c>
    </row>
    <row r="4" customFormat="false" ht="28.35" hidden="false" customHeight="false" outlineLevel="0" collapsed="false">
      <c r="A4" s="11" t="s">
        <v>473</v>
      </c>
      <c r="B4" s="11" t="n">
        <v>68.45</v>
      </c>
      <c r="C4" s="11" t="n">
        <v>4.66</v>
      </c>
      <c r="D4" s="11" t="n">
        <v>-0.06</v>
      </c>
      <c r="E4" s="11" t="n">
        <v>-0.02</v>
      </c>
      <c r="F4" s="11" t="n">
        <v>23.3</v>
      </c>
      <c r="G4" s="11" t="n">
        <v>0</v>
      </c>
      <c r="H4" s="11" t="s">
        <v>54</v>
      </c>
      <c r="I4" s="11" t="n">
        <v>660.34</v>
      </c>
      <c r="J4" s="11" t="n">
        <v>789.06</v>
      </c>
      <c r="K4" s="11" t="n">
        <v>663.71</v>
      </c>
      <c r="L4" s="11" t="n">
        <v>661.07</v>
      </c>
      <c r="M4" s="11" t="s">
        <v>54</v>
      </c>
    </row>
    <row r="5" customFormat="false" ht="15" hidden="false" customHeight="false" outlineLevel="0" collapsed="false">
      <c r="A5" s="11" t="s">
        <v>69</v>
      </c>
      <c r="B5" s="11" t="n">
        <v>107.54</v>
      </c>
      <c r="C5" s="11" t="n">
        <v>5.67</v>
      </c>
      <c r="D5" s="11" t="n">
        <v>-0.03</v>
      </c>
      <c r="E5" s="11" t="n">
        <v>-0.03</v>
      </c>
      <c r="F5" s="11" t="n">
        <v>28.3</v>
      </c>
      <c r="G5" s="11" t="n">
        <v>70.5</v>
      </c>
      <c r="H5" s="11" t="n">
        <v>0.066</v>
      </c>
      <c r="I5" s="11" t="n">
        <v>31.49</v>
      </c>
      <c r="J5" s="11" t="n">
        <v>794.99</v>
      </c>
      <c r="K5" s="11" t="n">
        <v>13.9</v>
      </c>
      <c r="L5" s="11" t="n">
        <v>38.36</v>
      </c>
      <c r="M5" s="11" t="s">
        <v>54</v>
      </c>
    </row>
    <row r="6" customFormat="false" ht="15" hidden="false" customHeight="false" outlineLevel="0" collapsed="false">
      <c r="A6" s="11" t="s">
        <v>77</v>
      </c>
      <c r="B6" s="11" t="n">
        <v>107.54</v>
      </c>
      <c r="C6" s="11" t="n">
        <v>5.67</v>
      </c>
      <c r="D6" s="11" t="n">
        <v>-0.03</v>
      </c>
      <c r="E6" s="11" t="n">
        <v>-0.03</v>
      </c>
      <c r="F6" s="11" t="n">
        <v>28.3</v>
      </c>
      <c r="G6" s="11" t="n">
        <v>89</v>
      </c>
      <c r="H6" s="11" t="n">
        <v>0.051</v>
      </c>
      <c r="I6" s="11" t="n">
        <v>172.69</v>
      </c>
      <c r="J6" s="11" t="n">
        <v>851.05</v>
      </c>
      <c r="K6" s="11" t="n">
        <v>210.44</v>
      </c>
      <c r="L6" s="11" t="n">
        <v>181.46</v>
      </c>
      <c r="M6" s="11" t="s">
        <v>54</v>
      </c>
    </row>
    <row r="7" customFormat="false" ht="15" hidden="false" customHeight="false" outlineLevel="0" collapsed="false">
      <c r="A7" s="11" t="s">
        <v>474</v>
      </c>
      <c r="B7" s="11" t="n">
        <v>149.3</v>
      </c>
      <c r="C7" s="11" t="n">
        <v>5.52</v>
      </c>
      <c r="D7" s="11" t="n">
        <v>-0.03</v>
      </c>
      <c r="E7" s="11" t="n">
        <v>-0.03</v>
      </c>
      <c r="F7" s="11" t="n">
        <v>27.6</v>
      </c>
      <c r="G7" s="11" t="n">
        <v>92.2</v>
      </c>
      <c r="H7" s="11" t="n">
        <v>0.051</v>
      </c>
      <c r="I7" s="11" t="n">
        <v>0.98</v>
      </c>
      <c r="J7" s="11" t="n">
        <v>434.39</v>
      </c>
      <c r="K7" s="11" t="n">
        <v>0.18</v>
      </c>
      <c r="L7" s="11" t="n">
        <v>9.9</v>
      </c>
      <c r="M7" s="11" t="s">
        <v>54</v>
      </c>
    </row>
    <row r="8" customFormat="false" ht="15" hidden="false" customHeight="false" outlineLevel="0" collapsed="false">
      <c r="A8" s="11" t="s">
        <v>102</v>
      </c>
      <c r="B8" s="11" t="n">
        <v>149.3</v>
      </c>
      <c r="C8" s="11" t="n">
        <v>5.52</v>
      </c>
      <c r="D8" s="11" t="n">
        <v>-0.03</v>
      </c>
      <c r="E8" s="11" t="n">
        <v>-0.03</v>
      </c>
      <c r="F8" s="11" t="n">
        <v>27.6</v>
      </c>
      <c r="G8" s="11" t="n">
        <v>98.8</v>
      </c>
      <c r="H8" s="11" t="n">
        <v>0.051</v>
      </c>
      <c r="I8" s="11" t="n">
        <v>2632.41</v>
      </c>
      <c r="J8" s="11" t="n">
        <v>2777.85</v>
      </c>
      <c r="K8" s="11" t="n">
        <v>2620</v>
      </c>
      <c r="L8" s="11" t="n">
        <v>2626.12</v>
      </c>
      <c r="M8" s="11" t="n">
        <v>2685.06</v>
      </c>
    </row>
    <row r="9" customFormat="false" ht="15" hidden="false" customHeight="false" outlineLevel="0" collapsed="false">
      <c r="A9" s="11" t="s">
        <v>89</v>
      </c>
      <c r="B9" s="11" t="n">
        <v>79.49</v>
      </c>
      <c r="C9" s="11" t="n">
        <v>5.04</v>
      </c>
      <c r="D9" s="11" t="n">
        <v>-0.02</v>
      </c>
      <c r="E9" s="11" t="n">
        <v>-0.02</v>
      </c>
      <c r="F9" s="11" t="n">
        <v>25.2</v>
      </c>
      <c r="G9" s="11" t="n">
        <v>89.7</v>
      </c>
      <c r="H9" s="11" t="n">
        <v>0.051</v>
      </c>
      <c r="I9" s="11" t="n">
        <v>2345.77</v>
      </c>
      <c r="J9" s="11" t="n">
        <v>2717.15</v>
      </c>
      <c r="K9" s="11" t="n">
        <v>2321.63</v>
      </c>
      <c r="L9" s="11" t="n">
        <v>2347.57</v>
      </c>
      <c r="M9" s="11" t="n">
        <v>2380.96</v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0"/>
    <col collapsed="false" customWidth="true" hidden="false" outlineLevel="0" max="8" min="4" style="0" width="12"/>
    <col collapsed="false" customWidth="true" hidden="false" outlineLevel="0" max="9" min="9" style="0" width="14"/>
    <col collapsed="false" customWidth="true" hidden="false" outlineLevel="0" max="12" min="10" style="0" width="12"/>
  </cols>
  <sheetData>
    <row r="1" customFormat="false" ht="41.75" hidden="false" customHeight="false" outlineLevel="0" collapsed="false">
      <c r="A1" s="4" t="s">
        <v>459</v>
      </c>
      <c r="B1" s="4" t="s">
        <v>537</v>
      </c>
      <c r="C1" s="4" t="s">
        <v>538</v>
      </c>
      <c r="D1" s="4" t="s">
        <v>539</v>
      </c>
      <c r="E1" s="4" t="s">
        <v>540</v>
      </c>
      <c r="F1" s="4" t="s">
        <v>541</v>
      </c>
      <c r="G1" s="4" t="s">
        <v>542</v>
      </c>
      <c r="H1" s="4" t="s">
        <v>543</v>
      </c>
      <c r="I1" s="4" t="s">
        <v>544</v>
      </c>
      <c r="J1" s="4" t="s">
        <v>545</v>
      </c>
      <c r="K1" s="4" t="s">
        <v>546</v>
      </c>
      <c r="L1" s="4" t="s">
        <v>547</v>
      </c>
    </row>
    <row r="2" customFormat="false" ht="28.35" hidden="false" customHeight="false" outlineLevel="0" collapsed="false">
      <c r="A2" s="11" t="s">
        <v>469</v>
      </c>
      <c r="B2" s="11" t="n">
        <v>91.5</v>
      </c>
      <c r="C2" s="11" t="n">
        <v>1709</v>
      </c>
      <c r="D2" s="11" t="n">
        <v>100</v>
      </c>
      <c r="E2" s="11" t="n">
        <v>0.01</v>
      </c>
      <c r="F2" s="11" t="n">
        <v>0.06</v>
      </c>
      <c r="G2" s="11" t="n">
        <v>0.46</v>
      </c>
      <c r="H2" s="11" t="n">
        <v>61</v>
      </c>
      <c r="I2" s="11" t="n">
        <v>99</v>
      </c>
      <c r="J2" s="11" t="n">
        <v>3.13</v>
      </c>
      <c r="K2" s="11" t="n">
        <v>8.44</v>
      </c>
      <c r="L2" s="11" t="n">
        <v>4.35</v>
      </c>
    </row>
    <row r="3" customFormat="false" ht="28.35" hidden="false" customHeight="false" outlineLevel="0" collapsed="false">
      <c r="A3" s="11" t="s">
        <v>473</v>
      </c>
      <c r="B3" s="11" t="n">
        <v>91.5</v>
      </c>
      <c r="C3" s="11" t="n">
        <v>1410</v>
      </c>
      <c r="D3" s="11" t="n">
        <v>100</v>
      </c>
      <c r="E3" s="11" t="n">
        <v>0.01</v>
      </c>
      <c r="F3" s="11" t="n">
        <v>0.05</v>
      </c>
      <c r="G3" s="11" t="n">
        <v>0.46</v>
      </c>
      <c r="H3" s="11" t="n">
        <v>60</v>
      </c>
      <c r="I3" s="11" t="n">
        <v>121</v>
      </c>
      <c r="J3" s="11" t="n">
        <v>1.97</v>
      </c>
      <c r="K3" s="11" t="n">
        <v>5.03</v>
      </c>
      <c r="L3" s="11" t="n">
        <v>3.34</v>
      </c>
    </row>
    <row r="4" customFormat="false" ht="15" hidden="false" customHeight="false" outlineLevel="0" collapsed="false">
      <c r="A4" s="11" t="s">
        <v>69</v>
      </c>
      <c r="B4" s="11" t="n">
        <v>0</v>
      </c>
      <c r="C4" s="11" t="n">
        <v>334</v>
      </c>
      <c r="D4" s="11" t="n">
        <v>0</v>
      </c>
      <c r="E4" s="11"/>
      <c r="F4" s="11"/>
      <c r="G4" s="11"/>
      <c r="H4" s="11" t="n">
        <v>2337</v>
      </c>
      <c r="I4" s="11" t="n">
        <v>509</v>
      </c>
      <c r="J4" s="11" t="n">
        <v>0.54</v>
      </c>
      <c r="K4" s="11" t="n">
        <v>1.48</v>
      </c>
      <c r="L4" s="11" t="n">
        <v>0.8</v>
      </c>
    </row>
    <row r="5" customFormat="false" ht="15" hidden="false" customHeight="false" outlineLevel="0" collapsed="false">
      <c r="A5" s="11" t="s">
        <v>77</v>
      </c>
      <c r="B5" s="11" t="n">
        <v>23</v>
      </c>
      <c r="C5" s="11" t="n">
        <v>886</v>
      </c>
      <c r="D5" s="11" t="n">
        <v>98.8</v>
      </c>
      <c r="E5" s="11" t="n">
        <v>0.08</v>
      </c>
      <c r="F5" s="11" t="n">
        <v>4.8</v>
      </c>
      <c r="G5" s="11" t="n">
        <v>28.86</v>
      </c>
      <c r="H5" s="11" t="n">
        <v>381</v>
      </c>
      <c r="I5" s="11" t="n">
        <v>192</v>
      </c>
      <c r="J5" s="11" t="n">
        <v>1.71</v>
      </c>
      <c r="K5" s="11" t="n">
        <v>4.4</v>
      </c>
      <c r="L5" s="11" t="n">
        <v>2.35</v>
      </c>
    </row>
    <row r="6" customFormat="false" ht="15" hidden="false" customHeight="false" outlineLevel="0" collapsed="false">
      <c r="A6" s="11" t="s">
        <v>474</v>
      </c>
      <c r="B6" s="11" t="n">
        <v>99</v>
      </c>
      <c r="C6" s="11" t="n">
        <v>298</v>
      </c>
      <c r="D6" s="11" t="n">
        <v>100</v>
      </c>
      <c r="E6" s="11" t="n">
        <v>0</v>
      </c>
      <c r="F6" s="11" t="n">
        <v>0</v>
      </c>
      <c r="G6" s="11" t="n">
        <v>0.11</v>
      </c>
      <c r="H6" s="11" t="n">
        <v>2</v>
      </c>
      <c r="I6" s="11" t="n">
        <v>570</v>
      </c>
      <c r="J6" s="11" t="n">
        <v>0.54</v>
      </c>
      <c r="K6" s="11" t="n">
        <v>1.44</v>
      </c>
      <c r="L6" s="11" t="n">
        <v>0.75</v>
      </c>
    </row>
    <row r="7" customFormat="false" ht="15" hidden="false" customHeight="false" outlineLevel="0" collapsed="false">
      <c r="A7" s="11" t="s">
        <v>102</v>
      </c>
      <c r="B7" s="11" t="n">
        <v>99</v>
      </c>
      <c r="C7" s="11" t="n">
        <v>1943</v>
      </c>
      <c r="D7" s="11" t="n">
        <v>100</v>
      </c>
      <c r="E7" s="11" t="n">
        <v>0.01</v>
      </c>
      <c r="F7" s="11" t="n">
        <v>0.02</v>
      </c>
      <c r="G7" s="11" t="n">
        <v>0.19</v>
      </c>
      <c r="H7" s="11" t="n">
        <v>18</v>
      </c>
      <c r="I7" s="11" t="n">
        <v>88</v>
      </c>
      <c r="J7" s="11" t="n">
        <v>3.78</v>
      </c>
      <c r="K7" s="11" t="n">
        <v>10.94</v>
      </c>
      <c r="L7" s="11" t="n">
        <v>5.2</v>
      </c>
    </row>
    <row r="8" customFormat="false" ht="15" hidden="false" customHeight="false" outlineLevel="0" collapsed="false">
      <c r="A8" s="11" t="s">
        <v>89</v>
      </c>
      <c r="B8" s="11" t="n">
        <v>42.8</v>
      </c>
      <c r="C8" s="11" t="n">
        <v>1428</v>
      </c>
      <c r="D8" s="11" t="n">
        <v>98.3</v>
      </c>
      <c r="E8" s="11" t="n">
        <v>0.01</v>
      </c>
      <c r="F8" s="11" t="n">
        <v>6.79</v>
      </c>
      <c r="G8" s="11" t="n">
        <v>36.18</v>
      </c>
      <c r="H8" s="11" t="n">
        <v>571</v>
      </c>
      <c r="I8" s="11" t="n">
        <v>119</v>
      </c>
      <c r="J8" s="11" t="n">
        <v>2.73</v>
      </c>
      <c r="K8" s="11" t="n">
        <v>7.79</v>
      </c>
      <c r="L8" s="11" t="n">
        <v>3.8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7" min="6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6"/>
  </cols>
  <sheetData>
    <row r="1" customFormat="false" ht="41.75" hidden="false" customHeight="false" outlineLevel="0" collapsed="false">
      <c r="A1" s="4" t="s">
        <v>182</v>
      </c>
      <c r="B1" s="4" t="s">
        <v>548</v>
      </c>
      <c r="C1" s="4" t="s">
        <v>492</v>
      </c>
      <c r="D1" s="4" t="s">
        <v>549</v>
      </c>
      <c r="E1" s="4" t="s">
        <v>550</v>
      </c>
      <c r="F1" s="4" t="s">
        <v>551</v>
      </c>
      <c r="G1" s="4" t="s">
        <v>552</v>
      </c>
      <c r="H1" s="4" t="s">
        <v>553</v>
      </c>
      <c r="I1" s="4" t="s">
        <v>554</v>
      </c>
      <c r="J1" s="4" t="s">
        <v>555</v>
      </c>
    </row>
    <row r="2" customFormat="false" ht="15" hidden="false" customHeight="false" outlineLevel="0" collapsed="false">
      <c r="A2" s="11" t="s">
        <v>556</v>
      </c>
      <c r="B2" s="11" t="n">
        <v>250</v>
      </c>
      <c r="C2" s="11" t="n">
        <v>1460</v>
      </c>
      <c r="D2" s="11" t="n">
        <v>23</v>
      </c>
      <c r="E2" s="11" t="n">
        <v>30</v>
      </c>
      <c r="F2" s="11" t="n">
        <v>66.1</v>
      </c>
      <c r="G2" s="11" t="n">
        <v>299</v>
      </c>
      <c r="H2" s="11" t="n">
        <v>51.7</v>
      </c>
      <c r="I2" s="11" t="n">
        <v>20.6</v>
      </c>
      <c r="J2" s="11" t="n">
        <v>0.83</v>
      </c>
    </row>
    <row r="3" customFormat="false" ht="15" hidden="false" customHeight="false" outlineLevel="0" collapsed="false">
      <c r="A3" s="11" t="s">
        <v>556</v>
      </c>
      <c r="B3" s="11" t="n">
        <v>250</v>
      </c>
      <c r="C3" s="11" t="n">
        <v>1460</v>
      </c>
      <c r="D3" s="11" t="n">
        <v>23</v>
      </c>
      <c r="E3" s="11" t="n">
        <v>14</v>
      </c>
      <c r="F3" s="11" t="n">
        <v>8</v>
      </c>
      <c r="G3" s="11" t="n">
        <v>32</v>
      </c>
      <c r="H3" s="11" t="n">
        <v>5.3</v>
      </c>
      <c r="I3" s="11" t="n">
        <v>3.1</v>
      </c>
      <c r="J3" s="11" t="n">
        <v>0.61</v>
      </c>
    </row>
    <row r="4" customFormat="false" ht="15" hidden="false" customHeight="false" outlineLevel="0" collapsed="false">
      <c r="A4" s="11" t="s">
        <v>556</v>
      </c>
      <c r="B4" s="11" t="n">
        <v>250</v>
      </c>
      <c r="C4" s="11" t="n">
        <v>1460</v>
      </c>
      <c r="D4" s="11" t="n">
        <v>23</v>
      </c>
      <c r="E4" s="11" t="n">
        <v>7</v>
      </c>
      <c r="F4" s="11" t="n">
        <v>3.7</v>
      </c>
      <c r="G4" s="11" t="n">
        <v>4</v>
      </c>
      <c r="H4" s="11" t="n">
        <v>3.3</v>
      </c>
      <c r="I4" s="11" t="n">
        <v>1.3</v>
      </c>
      <c r="J4" s="11" t="n">
        <v>0.57</v>
      </c>
    </row>
    <row r="5" customFormat="false" ht="15" hidden="false" customHeight="false" outlineLevel="0" collapsed="false">
      <c r="A5" s="11" t="s">
        <v>556</v>
      </c>
      <c r="B5" s="11" t="n">
        <v>500</v>
      </c>
      <c r="C5" s="11" t="n">
        <v>1460</v>
      </c>
      <c r="D5" s="11" t="n">
        <v>11</v>
      </c>
      <c r="E5" s="11" t="n">
        <v>30</v>
      </c>
      <c r="F5" s="11" t="n">
        <v>66.4</v>
      </c>
      <c r="G5" s="11" t="n">
        <v>299</v>
      </c>
      <c r="H5" s="11" t="n">
        <v>53.8</v>
      </c>
      <c r="I5" s="11" t="n">
        <v>18.5</v>
      </c>
      <c r="J5" s="11" t="n">
        <v>0.73</v>
      </c>
    </row>
    <row r="6" customFormat="false" ht="15" hidden="false" customHeight="false" outlineLevel="0" collapsed="false">
      <c r="A6" s="11" t="s">
        <v>556</v>
      </c>
      <c r="B6" s="11" t="n">
        <v>500</v>
      </c>
      <c r="C6" s="11" t="n">
        <v>1460</v>
      </c>
      <c r="D6" s="11" t="n">
        <v>11</v>
      </c>
      <c r="E6" s="11" t="n">
        <v>14</v>
      </c>
      <c r="F6" s="11" t="n">
        <v>12.5</v>
      </c>
      <c r="G6" s="11" t="n">
        <v>34</v>
      </c>
      <c r="H6" s="11" t="n">
        <v>8.1</v>
      </c>
      <c r="I6" s="11" t="n">
        <v>3.4</v>
      </c>
      <c r="J6" s="11" t="n">
        <v>0.55</v>
      </c>
    </row>
    <row r="7" customFormat="false" ht="15" hidden="false" customHeight="false" outlineLevel="0" collapsed="false">
      <c r="A7" s="11" t="s">
        <v>556</v>
      </c>
      <c r="B7" s="11" t="n">
        <v>500</v>
      </c>
      <c r="C7" s="11" t="n">
        <v>1460</v>
      </c>
      <c r="D7" s="11" t="n">
        <v>11</v>
      </c>
      <c r="E7" s="11" t="n">
        <v>7</v>
      </c>
      <c r="F7" s="11" t="n">
        <v>6.2</v>
      </c>
      <c r="G7" s="11" t="n">
        <v>17</v>
      </c>
      <c r="H7" s="11" t="n">
        <v>5</v>
      </c>
      <c r="I7" s="11" t="n">
        <v>1.5</v>
      </c>
      <c r="J7" s="11" t="n">
        <v>0.55</v>
      </c>
    </row>
    <row r="8" customFormat="false" ht="15" hidden="false" customHeight="false" outlineLevel="0" collapsed="false">
      <c r="A8" s="11" t="s">
        <v>557</v>
      </c>
      <c r="B8" s="11" t="n">
        <v>500</v>
      </c>
      <c r="C8" s="11" t="n">
        <v>4534</v>
      </c>
      <c r="D8" s="11" t="n">
        <v>36</v>
      </c>
      <c r="E8" s="11" t="n">
        <v>30</v>
      </c>
      <c r="F8" s="11" t="n">
        <v>16.1</v>
      </c>
      <c r="G8" s="11" t="n">
        <v>27</v>
      </c>
      <c r="H8" s="11" t="n">
        <v>14.7</v>
      </c>
      <c r="I8" s="11" t="n">
        <v>5.3</v>
      </c>
      <c r="J8" s="11" t="n">
        <v>0.62</v>
      </c>
    </row>
    <row r="9" customFormat="false" ht="15" hidden="false" customHeight="false" outlineLevel="0" collapsed="false">
      <c r="A9" s="11" t="s">
        <v>557</v>
      </c>
      <c r="B9" s="11" t="n">
        <v>500</v>
      </c>
      <c r="C9" s="11" t="n">
        <v>4534</v>
      </c>
      <c r="D9" s="11" t="n">
        <v>36</v>
      </c>
      <c r="E9" s="11" t="n">
        <v>14</v>
      </c>
      <c r="F9" s="11" t="n">
        <v>2.8</v>
      </c>
      <c r="G9" s="11" t="n">
        <v>7</v>
      </c>
      <c r="H9" s="11" t="n">
        <v>2.9</v>
      </c>
      <c r="I9" s="11" t="n">
        <v>2.2</v>
      </c>
      <c r="J9" s="11" t="n">
        <v>0.41</v>
      </c>
    </row>
    <row r="10" customFormat="false" ht="15" hidden="false" customHeight="false" outlineLevel="0" collapsed="false">
      <c r="A10" s="11" t="s">
        <v>557</v>
      </c>
      <c r="B10" s="11" t="n">
        <v>500</v>
      </c>
      <c r="C10" s="11" t="n">
        <v>4534</v>
      </c>
      <c r="D10" s="11" t="n">
        <v>36</v>
      </c>
      <c r="E10" s="11" t="n">
        <v>7</v>
      </c>
      <c r="F10" s="11" t="n">
        <v>1.9</v>
      </c>
      <c r="G10" s="11" t="n">
        <v>3</v>
      </c>
      <c r="H10" s="11" t="n">
        <v>2.5</v>
      </c>
      <c r="I10" s="11" t="n">
        <v>1.8</v>
      </c>
      <c r="J10" s="11" t="n">
        <v>0.47</v>
      </c>
    </row>
    <row r="11" customFormat="false" ht="15" hidden="false" customHeight="false" outlineLevel="0" collapsed="false">
      <c r="A11" s="11" t="s">
        <v>558</v>
      </c>
      <c r="B11" s="11" t="n">
        <v>500</v>
      </c>
      <c r="C11" s="11" t="n">
        <v>6097</v>
      </c>
      <c r="D11" s="11" t="n">
        <v>48</v>
      </c>
      <c r="E11" s="11" t="n">
        <v>30</v>
      </c>
      <c r="F11" s="11" t="n">
        <v>1.9</v>
      </c>
      <c r="G11" s="11" t="n">
        <v>4</v>
      </c>
      <c r="H11" s="11" t="n">
        <v>2.3</v>
      </c>
      <c r="I11" s="11" t="n">
        <v>1.7</v>
      </c>
      <c r="J11" s="11" t="n">
        <v>0.43</v>
      </c>
    </row>
    <row r="12" customFormat="false" ht="15" hidden="false" customHeight="false" outlineLevel="0" collapsed="false">
      <c r="A12" s="11" t="s">
        <v>558</v>
      </c>
      <c r="B12" s="11" t="n">
        <v>500</v>
      </c>
      <c r="C12" s="11" t="n">
        <v>6097</v>
      </c>
      <c r="D12" s="11" t="n">
        <v>48</v>
      </c>
      <c r="E12" s="11" t="n">
        <v>14</v>
      </c>
      <c r="F12" s="11" t="n">
        <v>1.3</v>
      </c>
      <c r="G12" s="11" t="n">
        <v>3</v>
      </c>
      <c r="H12" s="11" t="n">
        <v>1.6</v>
      </c>
      <c r="I12" s="11" t="n">
        <v>1</v>
      </c>
      <c r="J12" s="11" t="n">
        <v>0.52</v>
      </c>
    </row>
    <row r="13" customFormat="false" ht="15" hidden="false" customHeight="false" outlineLevel="0" collapsed="false">
      <c r="A13" s="11" t="s">
        <v>558</v>
      </c>
      <c r="B13" s="11" t="n">
        <v>500</v>
      </c>
      <c r="C13" s="11" t="n">
        <v>6097</v>
      </c>
      <c r="D13" s="11" t="n">
        <v>48</v>
      </c>
      <c r="E13" s="11" t="n">
        <v>7</v>
      </c>
      <c r="F13" s="11" t="n">
        <v>0.8</v>
      </c>
      <c r="G13" s="11" t="n">
        <v>2</v>
      </c>
      <c r="H13" s="11" t="n">
        <v>0.8</v>
      </c>
      <c r="I13" s="11" t="n">
        <v>0.8</v>
      </c>
      <c r="J13" s="11" t="n">
        <v>0.37</v>
      </c>
    </row>
    <row r="14" customFormat="false" ht="15" hidden="false" customHeight="false" outlineLevel="0" collapsed="false">
      <c r="A14" s="11" t="s">
        <v>559</v>
      </c>
      <c r="B14" s="11" t="n">
        <v>500</v>
      </c>
      <c r="C14" s="11" t="n">
        <v>5924</v>
      </c>
      <c r="D14" s="11" t="n">
        <v>47</v>
      </c>
      <c r="E14" s="11" t="n">
        <v>30</v>
      </c>
      <c r="F14" s="11" t="n">
        <v>2.8</v>
      </c>
      <c r="G14" s="11" t="n">
        <v>6</v>
      </c>
      <c r="H14" s="11" t="n">
        <v>3</v>
      </c>
      <c r="I14" s="11" t="n">
        <v>2.5</v>
      </c>
      <c r="J14" s="11" t="n">
        <v>0.47</v>
      </c>
    </row>
    <row r="15" customFormat="false" ht="15" hidden="false" customHeight="false" outlineLevel="0" collapsed="false">
      <c r="A15" s="11" t="s">
        <v>559</v>
      </c>
      <c r="B15" s="11" t="n">
        <v>500</v>
      </c>
      <c r="C15" s="11" t="n">
        <v>5924</v>
      </c>
      <c r="D15" s="11" t="n">
        <v>47</v>
      </c>
      <c r="E15" s="11" t="n">
        <v>14</v>
      </c>
      <c r="F15" s="11" t="n">
        <v>1.5</v>
      </c>
      <c r="G15" s="11" t="n">
        <v>3</v>
      </c>
      <c r="H15" s="11" t="n">
        <v>1.4</v>
      </c>
      <c r="I15" s="11" t="n">
        <v>1.3</v>
      </c>
      <c r="J15" s="11" t="n">
        <v>0.42</v>
      </c>
    </row>
    <row r="16" customFormat="false" ht="15" hidden="false" customHeight="false" outlineLevel="0" collapsed="false">
      <c r="A16" s="11" t="s">
        <v>559</v>
      </c>
      <c r="B16" s="11" t="n">
        <v>500</v>
      </c>
      <c r="C16" s="11" t="n">
        <v>5924</v>
      </c>
      <c r="D16" s="11" t="n">
        <v>47</v>
      </c>
      <c r="E16" s="11" t="n">
        <v>7</v>
      </c>
      <c r="F16" s="11" t="n">
        <v>0.8</v>
      </c>
      <c r="G16" s="11" t="n">
        <v>2</v>
      </c>
      <c r="H16" s="11" t="n">
        <v>0.9</v>
      </c>
      <c r="I16" s="11" t="n">
        <v>0.8</v>
      </c>
      <c r="J16" s="11" t="n">
        <v>0.35</v>
      </c>
    </row>
    <row r="17" customFormat="false" ht="15" hidden="false" customHeight="false" outlineLevel="0" collapsed="false">
      <c r="A17" s="11" t="s">
        <v>560</v>
      </c>
      <c r="B17" s="11" t="n">
        <v>500</v>
      </c>
      <c r="C17" s="11" t="n">
        <v>3074</v>
      </c>
      <c r="D17" s="11" t="n">
        <v>24</v>
      </c>
      <c r="E17" s="11" t="n">
        <v>30</v>
      </c>
      <c r="F17" s="11" t="n">
        <v>7.2</v>
      </c>
      <c r="G17" s="11" t="n">
        <v>20</v>
      </c>
      <c r="H17" s="11" t="n">
        <v>6.5</v>
      </c>
      <c r="I17" s="11" t="n">
        <v>5.1</v>
      </c>
      <c r="J17" s="11" t="n">
        <v>0.7</v>
      </c>
    </row>
    <row r="18" customFormat="false" ht="15" hidden="false" customHeight="false" outlineLevel="0" collapsed="false">
      <c r="A18" s="11" t="s">
        <v>560</v>
      </c>
      <c r="B18" s="11" t="n">
        <v>500</v>
      </c>
      <c r="C18" s="11" t="n">
        <v>3074</v>
      </c>
      <c r="D18" s="11" t="n">
        <v>24</v>
      </c>
      <c r="E18" s="11" t="n">
        <v>14</v>
      </c>
      <c r="F18" s="11" t="n">
        <v>4.4</v>
      </c>
      <c r="G18" s="11" t="n">
        <v>8</v>
      </c>
      <c r="H18" s="11" t="n">
        <v>3.9</v>
      </c>
      <c r="I18" s="11" t="n">
        <v>3.1</v>
      </c>
      <c r="J18" s="11" t="n">
        <v>0.43</v>
      </c>
    </row>
    <row r="19" customFormat="false" ht="15" hidden="false" customHeight="false" outlineLevel="0" collapsed="false">
      <c r="A19" s="11" t="s">
        <v>560</v>
      </c>
      <c r="B19" s="11" t="n">
        <v>500</v>
      </c>
      <c r="C19" s="11" t="n">
        <v>3074</v>
      </c>
      <c r="D19" s="11" t="n">
        <v>24</v>
      </c>
      <c r="E19" s="11" t="n">
        <v>7</v>
      </c>
      <c r="F19" s="11" t="n">
        <v>3.5</v>
      </c>
      <c r="G19" s="11" t="n">
        <v>5</v>
      </c>
      <c r="H19" s="11" t="n">
        <v>2.8</v>
      </c>
      <c r="I19" s="11" t="n">
        <v>2.9</v>
      </c>
      <c r="J19" s="11" t="n">
        <v>0.48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4" t="s">
        <v>561</v>
      </c>
      <c r="B1" s="4" t="s">
        <v>562</v>
      </c>
    </row>
    <row r="2" customFormat="false" ht="15" hidden="false" customHeight="false" outlineLevel="0" collapsed="false">
      <c r="A2" s="11" t="s">
        <v>563</v>
      </c>
      <c r="B2" s="11" t="s">
        <v>564</v>
      </c>
    </row>
    <row r="3" customFormat="false" ht="15" hidden="false" customHeight="false" outlineLevel="0" collapsed="false">
      <c r="A3" s="11" t="s">
        <v>565</v>
      </c>
      <c r="B3" s="11" t="s">
        <v>566</v>
      </c>
    </row>
    <row r="4" customFormat="false" ht="15" hidden="false" customHeight="false" outlineLevel="0" collapsed="false">
      <c r="A4" s="11" t="s">
        <v>567</v>
      </c>
      <c r="B4" s="11" t="s">
        <v>568</v>
      </c>
    </row>
    <row r="5" customFormat="false" ht="15" hidden="false" customHeight="false" outlineLevel="0" collapsed="false">
      <c r="A5" s="11" t="s">
        <v>569</v>
      </c>
      <c r="B5" s="11" t="s">
        <v>570</v>
      </c>
    </row>
    <row r="6" customFormat="false" ht="15" hidden="false" customHeight="false" outlineLevel="0" collapsed="false">
      <c r="A6" s="11" t="s">
        <v>571</v>
      </c>
      <c r="B6" s="11" t="s">
        <v>572</v>
      </c>
    </row>
    <row r="7" customFormat="false" ht="15" hidden="false" customHeight="false" outlineLevel="0" collapsed="false">
      <c r="A7" s="11" t="s">
        <v>573</v>
      </c>
      <c r="B7" s="11" t="s">
        <v>574</v>
      </c>
    </row>
    <row r="8" customFormat="false" ht="15" hidden="false" customHeight="false" outlineLevel="0" collapsed="false">
      <c r="A8" s="11" t="s">
        <v>575</v>
      </c>
      <c r="B8" s="11" t="s">
        <v>576</v>
      </c>
    </row>
    <row r="9" customFormat="false" ht="15" hidden="false" customHeight="false" outlineLevel="0" collapsed="false">
      <c r="A9" s="11" t="s">
        <v>577</v>
      </c>
      <c r="B9" s="11" t="s">
        <v>578</v>
      </c>
    </row>
    <row r="10" customFormat="false" ht="15" hidden="false" customHeight="false" outlineLevel="0" collapsed="false">
      <c r="A10" s="11" t="s">
        <v>579</v>
      </c>
      <c r="B10" s="11" t="s">
        <v>580</v>
      </c>
    </row>
    <row r="11" customFormat="false" ht="15" hidden="false" customHeight="false" outlineLevel="0" collapsed="false">
      <c r="A11" s="11" t="s">
        <v>581</v>
      </c>
      <c r="B11" s="11" t="s">
        <v>582</v>
      </c>
    </row>
    <row r="12" customFormat="false" ht="15" hidden="false" customHeight="false" outlineLevel="0" collapsed="false">
      <c r="A12" s="11" t="s">
        <v>583</v>
      </c>
      <c r="B12" s="11" t="s">
        <v>584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0" min="9" style="0" width="14"/>
    <col collapsed="false" customWidth="true" hidden="false" outlineLevel="0" max="11" min="11" style="0" width="20"/>
    <col collapsed="false" customWidth="true" hidden="false" outlineLevel="0" max="12" min="12" style="0" width="9"/>
  </cols>
  <sheetData>
    <row r="1" customFormat="false" ht="45" hidden="false" customHeight="true" outlineLevel="0" collapsed="false">
      <c r="A1" s="3" t="s">
        <v>585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customFormat="false" ht="68.65" hidden="false" customHeight="false" outlineLevel="0" collapsed="false">
      <c r="A2" s="4" t="s">
        <v>459</v>
      </c>
      <c r="B2" s="4" t="s">
        <v>388</v>
      </c>
      <c r="C2" s="4" t="s">
        <v>184</v>
      </c>
      <c r="D2" s="4" t="s">
        <v>586</v>
      </c>
      <c r="E2" s="4" t="s">
        <v>587</v>
      </c>
      <c r="F2" s="4" t="s">
        <v>588</v>
      </c>
      <c r="G2" s="4" t="s">
        <v>589</v>
      </c>
      <c r="H2" s="4" t="s">
        <v>590</v>
      </c>
      <c r="I2" s="4" t="s">
        <v>591</v>
      </c>
      <c r="J2" s="4" t="s">
        <v>592</v>
      </c>
      <c r="K2" s="4" t="s">
        <v>593</v>
      </c>
      <c r="L2" s="4" t="s">
        <v>594</v>
      </c>
    </row>
    <row r="3" customFormat="false" ht="41.75" hidden="false" customHeight="false" outlineLevel="0" collapsed="false">
      <c r="A3" s="11" t="s">
        <v>469</v>
      </c>
      <c r="B3" s="11" t="s">
        <v>470</v>
      </c>
      <c r="C3" s="11" t="s">
        <v>595</v>
      </c>
      <c r="D3" s="11" t="n">
        <v>3886</v>
      </c>
      <c r="E3" s="11" t="n">
        <v>3886</v>
      </c>
      <c r="F3" s="11" t="n">
        <v>3590</v>
      </c>
      <c r="G3" s="11" t="n">
        <v>3886</v>
      </c>
      <c r="H3" s="11" t="n">
        <v>3886</v>
      </c>
      <c r="I3" s="11" t="n">
        <v>4.99956811950142E-007</v>
      </c>
      <c r="J3" s="11" t="n">
        <v>4.54747350886464E-013</v>
      </c>
      <c r="K3" s="11" t="s">
        <v>596</v>
      </c>
      <c r="L3" s="11" t="s">
        <v>597</v>
      </c>
    </row>
    <row r="4" customFormat="false" ht="68.65" hidden="false" customHeight="false" outlineLevel="0" collapsed="false">
      <c r="A4" s="11" t="s">
        <v>69</v>
      </c>
      <c r="B4" s="11" t="s">
        <v>470</v>
      </c>
      <c r="C4" s="11" t="s">
        <v>595</v>
      </c>
      <c r="D4" s="11" t="n">
        <v>704</v>
      </c>
      <c r="E4" s="11" t="n">
        <v>704</v>
      </c>
      <c r="F4" s="11" t="n">
        <v>704</v>
      </c>
      <c r="G4" s="11" t="n">
        <v>704</v>
      </c>
      <c r="H4" s="11" t="n">
        <v>704</v>
      </c>
      <c r="I4" s="11" t="n">
        <v>4.99914079910013E-007</v>
      </c>
      <c r="J4" s="11" t="n">
        <v>4.54747350886464E-013</v>
      </c>
      <c r="K4" s="11" t="s">
        <v>598</v>
      </c>
      <c r="L4" s="11" t="s">
        <v>597</v>
      </c>
    </row>
    <row r="5" customFormat="false" ht="41.75" hidden="false" customHeight="false" outlineLevel="0" collapsed="false">
      <c r="A5" s="11" t="s">
        <v>77</v>
      </c>
      <c r="B5" s="11" t="s">
        <v>470</v>
      </c>
      <c r="C5" s="11" t="s">
        <v>595</v>
      </c>
      <c r="D5" s="11" t="n">
        <v>1991</v>
      </c>
      <c r="E5" s="11" t="n">
        <v>1991</v>
      </c>
      <c r="F5" s="11" t="n">
        <v>1681</v>
      </c>
      <c r="G5" s="11" t="n">
        <v>1991</v>
      </c>
      <c r="H5" s="11" t="n">
        <v>1991</v>
      </c>
      <c r="I5" s="11" t="n">
        <v>4.99779766016673E-007</v>
      </c>
      <c r="J5" s="11" t="n">
        <v>4.54747350886464E-013</v>
      </c>
      <c r="K5" s="11" t="s">
        <v>599</v>
      </c>
      <c r="L5" s="11" t="s">
        <v>597</v>
      </c>
    </row>
    <row r="6" customFormat="false" ht="68.65" hidden="false" customHeight="false" outlineLevel="0" collapsed="false">
      <c r="A6" s="11" t="s">
        <v>474</v>
      </c>
      <c r="B6" s="11" t="s">
        <v>471</v>
      </c>
      <c r="C6" s="11" t="s">
        <v>595</v>
      </c>
      <c r="D6" s="11" t="n">
        <v>595</v>
      </c>
      <c r="E6" s="11" t="n">
        <v>595</v>
      </c>
      <c r="F6" s="11" t="n">
        <v>242</v>
      </c>
      <c r="G6" s="11" t="n">
        <v>595</v>
      </c>
      <c r="H6" s="11" t="n">
        <v>595</v>
      </c>
      <c r="I6" s="11" t="n">
        <v>8.30794064654583E-008</v>
      </c>
      <c r="J6" s="11" t="n">
        <v>4.54747350886464E-013</v>
      </c>
      <c r="K6" s="11" t="s">
        <v>600</v>
      </c>
      <c r="L6" s="11" t="s">
        <v>597</v>
      </c>
    </row>
    <row r="7" customFormat="false" ht="68.65" hidden="false" customHeight="false" outlineLevel="0" collapsed="false">
      <c r="A7" s="11" t="s">
        <v>473</v>
      </c>
      <c r="B7" s="11" t="s">
        <v>471</v>
      </c>
      <c r="C7" s="11" t="s">
        <v>601</v>
      </c>
      <c r="D7" s="11" t="n">
        <v>3154</v>
      </c>
      <c r="E7" s="11" t="n">
        <v>3154</v>
      </c>
      <c r="F7" s="11" t="n">
        <v>1133</v>
      </c>
      <c r="G7" s="11" t="n">
        <v>3154</v>
      </c>
      <c r="H7" s="11" t="n">
        <v>3154</v>
      </c>
      <c r="I7" s="11" t="n">
        <v>8.33206499351036E-008</v>
      </c>
      <c r="J7" s="11" t="n">
        <v>0.00499999999919965</v>
      </c>
      <c r="K7" s="11" t="s">
        <v>602</v>
      </c>
      <c r="L7" s="11" t="s">
        <v>597</v>
      </c>
    </row>
    <row r="8" customFormat="false" ht="41.75" hidden="false" customHeight="false" outlineLevel="0" collapsed="false">
      <c r="A8" s="11" t="s">
        <v>89</v>
      </c>
      <c r="B8" s="11" t="s">
        <v>471</v>
      </c>
      <c r="C8" s="11" t="s">
        <v>595</v>
      </c>
      <c r="D8" s="11" t="n">
        <v>3264</v>
      </c>
      <c r="E8" s="11" t="n">
        <v>3264</v>
      </c>
      <c r="F8" s="11" t="n">
        <v>2677</v>
      </c>
      <c r="G8" s="11" t="n">
        <v>3264</v>
      </c>
      <c r="H8" s="11" t="n">
        <v>3264</v>
      </c>
      <c r="I8" s="11" t="n">
        <v>8.33309883319089E-008</v>
      </c>
      <c r="J8" s="11" t="n">
        <v>4.54747350886464E-013</v>
      </c>
      <c r="K8" s="11" t="s">
        <v>599</v>
      </c>
      <c r="L8" s="11" t="s">
        <v>597</v>
      </c>
    </row>
    <row r="9" customFormat="false" ht="15" hidden="false" customHeight="false" outlineLevel="0" collapsed="false">
      <c r="A9" s="11" t="s">
        <v>102</v>
      </c>
      <c r="B9" s="11" t="s">
        <v>472</v>
      </c>
      <c r="C9" s="11" t="s">
        <v>595</v>
      </c>
      <c r="D9" s="11" t="n">
        <v>3834</v>
      </c>
      <c r="E9" s="11" t="n">
        <v>3833</v>
      </c>
      <c r="F9" s="11" t="n">
        <v>3833</v>
      </c>
      <c r="G9" s="11" t="n">
        <v>3833</v>
      </c>
      <c r="H9" s="11" t="n">
        <v>3833</v>
      </c>
      <c r="I9" s="11" t="n">
        <v>2.09535642170522E-008</v>
      </c>
      <c r="J9" s="11"/>
      <c r="K9" s="11" t="s">
        <v>603</v>
      </c>
      <c r="L9" s="11" t="s">
        <v>597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4" t="s">
        <v>604</v>
      </c>
      <c r="B1" s="4" t="s">
        <v>605</v>
      </c>
      <c r="C1" s="4" t="s">
        <v>606</v>
      </c>
      <c r="D1" s="4" t="s">
        <v>607</v>
      </c>
      <c r="E1" s="4" t="s">
        <v>608</v>
      </c>
    </row>
    <row r="2" customFormat="false" ht="28.35" hidden="false" customHeight="false" outlineLevel="0" collapsed="false">
      <c r="A2" s="2" t="s">
        <v>609</v>
      </c>
      <c r="B2" s="2" t="s">
        <v>39</v>
      </c>
      <c r="C2" s="2" t="s">
        <v>610</v>
      </c>
      <c r="D2" s="2" t="s">
        <v>611</v>
      </c>
      <c r="E2" s="2" t="s">
        <v>612</v>
      </c>
    </row>
    <row r="3" customFormat="false" ht="28.35" hidden="false" customHeight="false" outlineLevel="0" collapsed="false">
      <c r="A3" s="2" t="s">
        <v>613</v>
      </c>
      <c r="B3" s="2" t="s">
        <v>30</v>
      </c>
      <c r="C3" s="2" t="s">
        <v>610</v>
      </c>
      <c r="D3" s="2" t="s">
        <v>614</v>
      </c>
      <c r="E3" s="2" t="s">
        <v>615</v>
      </c>
    </row>
    <row r="4" customFormat="false" ht="28.35" hidden="false" customHeight="false" outlineLevel="0" collapsed="false">
      <c r="A4" s="2" t="s">
        <v>616</v>
      </c>
      <c r="B4" s="2" t="s">
        <v>39</v>
      </c>
      <c r="C4" s="2" t="s">
        <v>610</v>
      </c>
      <c r="D4" s="2" t="s">
        <v>617</v>
      </c>
      <c r="E4" s="2" t="s">
        <v>618</v>
      </c>
    </row>
    <row r="5" customFormat="false" ht="28.35" hidden="false" customHeight="false" outlineLevel="0" collapsed="false">
      <c r="A5" s="2" t="s">
        <v>619</v>
      </c>
      <c r="B5" s="2" t="s">
        <v>30</v>
      </c>
      <c r="C5" s="2" t="s">
        <v>620</v>
      </c>
      <c r="D5" s="2" t="s">
        <v>621</v>
      </c>
      <c r="E5" s="2" t="s">
        <v>615</v>
      </c>
    </row>
    <row r="6" customFormat="false" ht="28.35" hidden="false" customHeight="false" outlineLevel="0" collapsed="false">
      <c r="A6" s="2" t="s">
        <v>622</v>
      </c>
      <c r="B6" s="2" t="s">
        <v>30</v>
      </c>
      <c r="C6" s="2" t="s">
        <v>610</v>
      </c>
      <c r="D6" s="2" t="s">
        <v>623</v>
      </c>
      <c r="E6" s="2" t="s">
        <v>624</v>
      </c>
    </row>
    <row r="7" customFormat="false" ht="28.35" hidden="false" customHeight="false" outlineLevel="0" collapsed="false">
      <c r="A7" s="2" t="s">
        <v>625</v>
      </c>
      <c r="B7" s="2" t="s">
        <v>39</v>
      </c>
      <c r="C7" s="2" t="s">
        <v>620</v>
      </c>
      <c r="D7" s="2" t="s">
        <v>626</v>
      </c>
      <c r="E7" s="2" t="s">
        <v>624</v>
      </c>
    </row>
    <row r="8" customFormat="false" ht="28.35" hidden="false" customHeight="false" outlineLevel="0" collapsed="false">
      <c r="A8" s="2" t="s">
        <v>627</v>
      </c>
      <c r="B8" s="2" t="s">
        <v>30</v>
      </c>
      <c r="C8" s="2" t="s">
        <v>610</v>
      </c>
      <c r="D8" s="2" t="s">
        <v>628</v>
      </c>
      <c r="E8" s="2" t="s">
        <v>615</v>
      </c>
    </row>
    <row r="9" customFormat="false" ht="28.35" hidden="false" customHeight="false" outlineLevel="0" collapsed="false">
      <c r="A9" s="2" t="s">
        <v>629</v>
      </c>
      <c r="B9" s="2" t="s">
        <v>630</v>
      </c>
      <c r="C9" s="2" t="s">
        <v>610</v>
      </c>
      <c r="D9" s="2" t="s">
        <v>631</v>
      </c>
      <c r="E9" s="2" t="s">
        <v>632</v>
      </c>
    </row>
    <row r="10" customFormat="false" ht="28.35" hidden="false" customHeight="false" outlineLevel="0" collapsed="false">
      <c r="A10" s="2" t="s">
        <v>633</v>
      </c>
      <c r="B10" s="2" t="s">
        <v>30</v>
      </c>
      <c r="C10" s="2" t="s">
        <v>620</v>
      </c>
      <c r="D10" s="2" t="s">
        <v>634</v>
      </c>
      <c r="E10" s="2" t="s">
        <v>635</v>
      </c>
    </row>
    <row r="11" customFormat="false" ht="28.35" hidden="false" customHeight="false" outlineLevel="0" collapsed="false">
      <c r="A11" s="2" t="s">
        <v>636</v>
      </c>
      <c r="B11" s="2" t="s">
        <v>30</v>
      </c>
      <c r="C11" s="2" t="s">
        <v>610</v>
      </c>
      <c r="D11" s="2" t="s">
        <v>637</v>
      </c>
      <c r="E11" s="2" t="s">
        <v>638</v>
      </c>
    </row>
    <row r="12" customFormat="false" ht="28.35" hidden="false" customHeight="false" outlineLevel="0" collapsed="false">
      <c r="A12" s="2" t="s">
        <v>639</v>
      </c>
      <c r="B12" s="2" t="s">
        <v>30</v>
      </c>
      <c r="C12" s="2" t="s">
        <v>610</v>
      </c>
      <c r="D12" s="2" t="s">
        <v>640</v>
      </c>
      <c r="E12" s="2" t="s">
        <v>641</v>
      </c>
    </row>
    <row r="13" customFormat="false" ht="28.35" hidden="false" customHeight="false" outlineLevel="0" collapsed="false">
      <c r="A13" s="2" t="s">
        <v>642</v>
      </c>
      <c r="B13" s="2" t="s">
        <v>39</v>
      </c>
      <c r="C13" s="2" t="s">
        <v>620</v>
      </c>
      <c r="D13" s="2" t="s">
        <v>643</v>
      </c>
      <c r="E13" s="2" t="s">
        <v>644</v>
      </c>
    </row>
    <row r="14" customFormat="false" ht="15" hidden="false" customHeight="false" outlineLevel="0" collapsed="false">
      <c r="A14" s="2" t="s">
        <v>645</v>
      </c>
      <c r="B14" s="2" t="s">
        <v>39</v>
      </c>
      <c r="C14" s="2" t="s">
        <v>646</v>
      </c>
      <c r="D14" s="2" t="s">
        <v>647</v>
      </c>
      <c r="E14" s="2" t="s">
        <v>635</v>
      </c>
    </row>
    <row r="15" customFormat="false" ht="28.35" hidden="false" customHeight="false" outlineLevel="0" collapsed="false">
      <c r="A15" s="2" t="s">
        <v>648</v>
      </c>
      <c r="B15" s="2" t="s">
        <v>30</v>
      </c>
      <c r="C15" s="2" t="s">
        <v>620</v>
      </c>
      <c r="D15" s="2" t="s">
        <v>649</v>
      </c>
      <c r="E15" s="2" t="s">
        <v>650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80"/>
    <col collapsed="false" customWidth="true" hidden="false" outlineLevel="0" max="4" min="4" style="0" width="36"/>
  </cols>
  <sheetData>
    <row r="1" customFormat="false" ht="45" hidden="false" customHeight="true" outlineLevel="0" collapsed="false">
      <c r="A1" s="3" t="s">
        <v>651</v>
      </c>
      <c r="B1" s="3"/>
      <c r="C1" s="3"/>
      <c r="D1" s="3"/>
    </row>
    <row r="2" customFormat="false" ht="15" hidden="false" customHeight="false" outlineLevel="0" collapsed="false">
      <c r="A2" s="4" t="s">
        <v>652</v>
      </c>
      <c r="B2" s="4" t="s">
        <v>653</v>
      </c>
      <c r="C2" s="4" t="s">
        <v>654</v>
      </c>
      <c r="D2" s="4" t="s">
        <v>562</v>
      </c>
    </row>
    <row r="3" customFormat="false" ht="28.35" hidden="false" customHeight="false" outlineLevel="0" collapsed="false">
      <c r="A3" s="2" t="s">
        <v>655</v>
      </c>
      <c r="B3" s="2" t="s">
        <v>656</v>
      </c>
      <c r="C3" s="2" t="s">
        <v>657</v>
      </c>
      <c r="D3" s="2" t="s">
        <v>658</v>
      </c>
    </row>
    <row r="4" customFormat="false" ht="28.35" hidden="false" customHeight="false" outlineLevel="0" collapsed="false">
      <c r="A4" s="2" t="s">
        <v>659</v>
      </c>
      <c r="B4" s="2" t="s">
        <v>660</v>
      </c>
      <c r="C4" s="2" t="s">
        <v>661</v>
      </c>
      <c r="D4" s="2" t="s">
        <v>662</v>
      </c>
    </row>
    <row r="5" customFormat="false" ht="28.35" hidden="false" customHeight="false" outlineLevel="0" collapsed="false">
      <c r="A5" s="2" t="s">
        <v>663</v>
      </c>
      <c r="B5" s="2" t="s">
        <v>664</v>
      </c>
      <c r="C5" s="2" t="s">
        <v>665</v>
      </c>
      <c r="D5" s="2" t="s">
        <v>666</v>
      </c>
    </row>
    <row r="6" customFormat="false" ht="28.35" hidden="false" customHeight="false" outlineLevel="0" collapsed="false">
      <c r="A6" s="2" t="s">
        <v>667</v>
      </c>
      <c r="B6" s="2" t="s">
        <v>668</v>
      </c>
      <c r="C6" s="2" t="s">
        <v>669</v>
      </c>
      <c r="D6" s="2" t="s">
        <v>670</v>
      </c>
    </row>
    <row r="7" customFormat="false" ht="28.35" hidden="false" customHeight="false" outlineLevel="0" collapsed="false">
      <c r="A7" s="2" t="s">
        <v>671</v>
      </c>
      <c r="B7" s="2" t="s">
        <v>672</v>
      </c>
      <c r="C7" s="2" t="s">
        <v>673</v>
      </c>
      <c r="D7" s="2" t="s">
        <v>674</v>
      </c>
    </row>
    <row r="8" customFormat="false" ht="28.35" hidden="false" customHeight="false" outlineLevel="0" collapsed="false">
      <c r="A8" s="2" t="s">
        <v>675</v>
      </c>
      <c r="B8" s="2" t="s">
        <v>676</v>
      </c>
      <c r="C8" s="2" t="s">
        <v>677</v>
      </c>
      <c r="D8" s="2" t="s">
        <v>678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4" t="s">
        <v>679</v>
      </c>
      <c r="B1" s="4" t="s">
        <v>680</v>
      </c>
    </row>
    <row r="2" customFormat="false" ht="15" hidden="false" customHeight="false" outlineLevel="0" collapsed="false">
      <c r="A2" s="2" t="n">
        <v>1</v>
      </c>
      <c r="B2" s="2" t="s">
        <v>681</v>
      </c>
    </row>
    <row r="3" customFormat="false" ht="28.35" hidden="false" customHeight="false" outlineLevel="0" collapsed="false">
      <c r="A3" s="2" t="n">
        <v>2</v>
      </c>
      <c r="B3" s="2" t="s">
        <v>682</v>
      </c>
    </row>
    <row r="4" customFormat="false" ht="15" hidden="false" customHeight="false" outlineLevel="0" collapsed="false">
      <c r="A4" s="2" t="n">
        <v>3</v>
      </c>
      <c r="B4" s="2" t="s">
        <v>683</v>
      </c>
    </row>
    <row r="5" customFormat="false" ht="15" hidden="false" customHeight="false" outlineLevel="0" collapsed="false">
      <c r="A5" s="2" t="n">
        <v>4</v>
      </c>
      <c r="B5" s="2" t="s">
        <v>684</v>
      </c>
    </row>
    <row r="6" customFormat="false" ht="28.35" hidden="false" customHeight="false" outlineLevel="0" collapsed="false">
      <c r="A6" s="2" t="n">
        <v>5</v>
      </c>
      <c r="B6" s="2" t="s">
        <v>685</v>
      </c>
    </row>
    <row r="7" customFormat="false" ht="15" hidden="false" customHeight="false" outlineLevel="0" collapsed="false">
      <c r="A7" s="2" t="n">
        <v>6</v>
      </c>
      <c r="B7" s="2" t="s">
        <v>686</v>
      </c>
    </row>
    <row r="8" customFormat="false" ht="28.35" hidden="false" customHeight="false" outlineLevel="0" collapsed="false">
      <c r="A8" s="2" t="n">
        <v>7</v>
      </c>
      <c r="B8" s="2" t="s">
        <v>687</v>
      </c>
    </row>
    <row r="9" customFormat="false" ht="15" hidden="false" customHeight="false" outlineLevel="0" collapsed="false">
      <c r="A9" s="2" t="n">
        <v>8</v>
      </c>
      <c r="B9" s="2" t="s">
        <v>688</v>
      </c>
    </row>
    <row r="10" customFormat="false" ht="15" hidden="false" customHeight="false" outlineLevel="0" collapsed="false">
      <c r="A10" s="2" t="n">
        <v>9</v>
      </c>
      <c r="B10" s="2" t="s">
        <v>689</v>
      </c>
    </row>
    <row r="11" customFormat="false" ht="15" hidden="false" customHeight="false" outlineLevel="0" collapsed="false">
      <c r="A11" s="2" t="n">
        <v>10</v>
      </c>
      <c r="B11" s="2" t="s">
        <v>690</v>
      </c>
    </row>
    <row r="12" customFormat="false" ht="15" hidden="false" customHeight="false" outlineLevel="0" collapsed="false">
      <c r="A12" s="2" t="n">
        <v>11</v>
      </c>
      <c r="B12" s="2" t="s">
        <v>691</v>
      </c>
    </row>
    <row r="13" customFormat="false" ht="15" hidden="false" customHeight="false" outlineLevel="0" collapsed="false">
      <c r="A13" s="2" t="n">
        <v>12</v>
      </c>
      <c r="B13" s="2" t="s">
        <v>692</v>
      </c>
    </row>
    <row r="14" customFormat="false" ht="15" hidden="false" customHeight="false" outlineLevel="0" collapsed="false">
      <c r="A14" s="2" t="n">
        <v>13</v>
      </c>
      <c r="B14" s="2" t="s">
        <v>693</v>
      </c>
    </row>
    <row r="15" customFormat="false" ht="15" hidden="false" customHeight="false" outlineLevel="0" collapsed="false">
      <c r="A15" s="2" t="n">
        <v>14</v>
      </c>
      <c r="B15" s="2" t="s">
        <v>694</v>
      </c>
    </row>
    <row r="16" customFormat="false" ht="15" hidden="false" customHeight="false" outlineLevel="0" collapsed="false">
      <c r="A16" s="2" t="n">
        <v>15</v>
      </c>
      <c r="B16" s="2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90"/>
  </cols>
  <sheetData>
    <row r="1" customFormat="false" ht="45" hidden="false" customHeight="true" outlineLevel="0" collapsed="false">
      <c r="A1" s="3" t="s">
        <v>696</v>
      </c>
      <c r="B1" s="3"/>
      <c r="C1" s="3"/>
    </row>
    <row r="2" customFormat="false" ht="15" hidden="false" customHeight="false" outlineLevel="0" collapsed="false">
      <c r="A2" s="4" t="s">
        <v>697</v>
      </c>
      <c r="B2" s="4" t="s">
        <v>698</v>
      </c>
      <c r="C2" s="4" t="s">
        <v>699</v>
      </c>
    </row>
    <row r="3" customFormat="false" ht="15" hidden="false" customHeight="false" outlineLevel="0" collapsed="false">
      <c r="A3" s="2" t="s">
        <v>700</v>
      </c>
      <c r="B3" s="2" t="s">
        <v>701</v>
      </c>
      <c r="C3" s="2" t="s">
        <v>702</v>
      </c>
    </row>
    <row r="4" customFormat="false" ht="28.35" hidden="false" customHeight="false" outlineLevel="0" collapsed="false">
      <c r="A4" s="2" t="s">
        <v>703</v>
      </c>
      <c r="B4" s="2" t="s">
        <v>704</v>
      </c>
      <c r="C4" s="2" t="s">
        <v>705</v>
      </c>
    </row>
    <row r="5" customFormat="false" ht="28.35" hidden="false" customHeight="false" outlineLevel="0" collapsed="false">
      <c r="A5" s="2" t="s">
        <v>706</v>
      </c>
      <c r="B5" s="2" t="s">
        <v>707</v>
      </c>
      <c r="C5" s="2" t="s">
        <v>708</v>
      </c>
    </row>
    <row r="6" customFormat="false" ht="15" hidden="false" customHeight="false" outlineLevel="0" collapsed="false">
      <c r="A6" s="2" t="s">
        <v>709</v>
      </c>
      <c r="B6" s="2" t="s">
        <v>710</v>
      </c>
      <c r="C6" s="2" t="s">
        <v>711</v>
      </c>
    </row>
    <row r="7" customFormat="false" ht="28.35" hidden="false" customHeight="false" outlineLevel="0" collapsed="false">
      <c r="A7" s="2" t="s">
        <v>67</v>
      </c>
      <c r="B7" s="2" t="s">
        <v>712</v>
      </c>
      <c r="C7" s="2" t="s">
        <v>713</v>
      </c>
    </row>
    <row r="8" customFormat="false" ht="15" hidden="false" customHeight="false" outlineLevel="0" collapsed="false">
      <c r="A8" s="2" t="s">
        <v>714</v>
      </c>
      <c r="B8" s="2" t="s">
        <v>715</v>
      </c>
      <c r="C8" s="2" t="s">
        <v>716</v>
      </c>
    </row>
    <row r="9" customFormat="false" ht="15" hidden="false" customHeight="false" outlineLevel="0" collapsed="false">
      <c r="A9" s="2" t="s">
        <v>717</v>
      </c>
      <c r="B9" s="2" t="s">
        <v>718</v>
      </c>
      <c r="C9" s="2" t="s">
        <v>719</v>
      </c>
    </row>
    <row r="10" customFormat="false" ht="15" hidden="false" customHeight="false" outlineLevel="0" collapsed="false">
      <c r="A10" s="2" t="s">
        <v>720</v>
      </c>
      <c r="B10" s="2" t="s">
        <v>721</v>
      </c>
      <c r="C10" s="2" t="s">
        <v>722</v>
      </c>
    </row>
    <row r="11" customFormat="false" ht="15" hidden="false" customHeight="false" outlineLevel="0" collapsed="false">
      <c r="A11" s="2" t="s">
        <v>354</v>
      </c>
      <c r="B11" s="2" t="s">
        <v>723</v>
      </c>
      <c r="C11" s="2" t="s">
        <v>724</v>
      </c>
    </row>
    <row r="12" customFormat="false" ht="15" hidden="false" customHeight="false" outlineLevel="0" collapsed="false">
      <c r="A12" s="2" t="s">
        <v>362</v>
      </c>
      <c r="B12" s="2" t="s">
        <v>725</v>
      </c>
      <c r="C12" s="2" t="s">
        <v>726</v>
      </c>
    </row>
    <row r="13" customFormat="false" ht="15" hidden="false" customHeight="false" outlineLevel="0" collapsed="false">
      <c r="A13" s="2" t="s">
        <v>377</v>
      </c>
      <c r="B13" s="2" t="s">
        <v>727</v>
      </c>
      <c r="C13" s="2" t="s">
        <v>728</v>
      </c>
    </row>
    <row r="14" customFormat="false" ht="15" hidden="false" customHeight="false" outlineLevel="0" collapsed="false">
      <c r="A14" s="2" t="s">
        <v>383</v>
      </c>
      <c r="B14" s="2" t="s">
        <v>729</v>
      </c>
      <c r="C14" s="2" t="s">
        <v>730</v>
      </c>
    </row>
    <row r="15" customFormat="false" ht="15" hidden="false" customHeight="false" outlineLevel="0" collapsed="false">
      <c r="A15" s="2" t="s">
        <v>387</v>
      </c>
      <c r="B15" s="2" t="s">
        <v>731</v>
      </c>
      <c r="C15" s="2" t="s">
        <v>732</v>
      </c>
    </row>
    <row r="16" customFormat="false" ht="28.35" hidden="false" customHeight="false" outlineLevel="0" collapsed="false">
      <c r="A16" s="2" t="s">
        <v>733</v>
      </c>
      <c r="B16" s="2" t="s">
        <v>734</v>
      </c>
      <c r="C16" s="2" t="s">
        <v>735</v>
      </c>
    </row>
    <row r="17" customFormat="false" ht="15" hidden="false" customHeight="false" outlineLevel="0" collapsed="false">
      <c r="A17" s="2" t="s">
        <v>736</v>
      </c>
      <c r="B17" s="2" t="s">
        <v>737</v>
      </c>
      <c r="C17" s="2" t="s">
        <v>738</v>
      </c>
    </row>
    <row r="18" customFormat="false" ht="28.35" hidden="false" customHeight="false" outlineLevel="0" collapsed="false">
      <c r="A18" s="2" t="s">
        <v>61</v>
      </c>
      <c r="B18" s="2" t="s">
        <v>739</v>
      </c>
      <c r="C18" s="2" t="s">
        <v>740</v>
      </c>
    </row>
    <row r="19" customFormat="false" ht="15" hidden="false" customHeight="false" outlineLevel="0" collapsed="false">
      <c r="A19" s="2" t="s">
        <v>161</v>
      </c>
      <c r="B19" s="2" t="s">
        <v>741</v>
      </c>
      <c r="C19" s="2" t="s">
        <v>742</v>
      </c>
    </row>
    <row r="20" customFormat="false" ht="15" hidden="false" customHeight="false" outlineLevel="0" collapsed="false">
      <c r="A20" s="2" t="s">
        <v>76</v>
      </c>
      <c r="B20" s="2" t="s">
        <v>743</v>
      </c>
      <c r="C20" s="2" t="s">
        <v>744</v>
      </c>
    </row>
    <row r="21" customFormat="false" ht="15" hidden="false" customHeight="false" outlineLevel="0" collapsed="false">
      <c r="A21" s="2" t="s">
        <v>48</v>
      </c>
      <c r="B21" s="2" t="s">
        <v>745</v>
      </c>
      <c r="C21" s="2" t="s">
        <v>746</v>
      </c>
    </row>
    <row r="22" customFormat="false" ht="15" hidden="false" customHeight="false" outlineLevel="0" collapsed="false">
      <c r="A22" s="2" t="s">
        <v>126</v>
      </c>
      <c r="B22" s="2" t="s">
        <v>747</v>
      </c>
      <c r="C22" s="2" t="s">
        <v>748</v>
      </c>
    </row>
    <row r="23" customFormat="false" ht="15" hidden="false" customHeight="false" outlineLevel="0" collapsed="false">
      <c r="A23" s="2" t="s">
        <v>438</v>
      </c>
      <c r="B23" s="2" t="s">
        <v>749</v>
      </c>
      <c r="C23" s="2" t="s">
        <v>750</v>
      </c>
    </row>
    <row r="24" customFormat="false" ht="15" hidden="false" customHeight="false" outlineLevel="0" collapsed="false">
      <c r="A24" s="2" t="s">
        <v>434</v>
      </c>
      <c r="B24" s="2" t="s">
        <v>751</v>
      </c>
      <c r="C24" s="2" t="s">
        <v>752</v>
      </c>
    </row>
    <row r="25" customFormat="false" ht="28.35" hidden="false" customHeight="false" outlineLevel="0" collapsed="false">
      <c r="A25" s="2" t="s">
        <v>753</v>
      </c>
      <c r="B25" s="2" t="s">
        <v>754</v>
      </c>
      <c r="C25" s="2" t="s">
        <v>755</v>
      </c>
    </row>
    <row r="26" customFormat="false" ht="28.35" hidden="false" customHeight="false" outlineLevel="0" collapsed="false">
      <c r="A26" s="2" t="s">
        <v>756</v>
      </c>
      <c r="B26" s="2" t="s">
        <v>757</v>
      </c>
      <c r="C26" s="2" t="s">
        <v>758</v>
      </c>
    </row>
    <row r="27" customFormat="false" ht="28.35" hidden="false" customHeight="false" outlineLevel="0" collapsed="false">
      <c r="A27" s="2" t="s">
        <v>759</v>
      </c>
      <c r="B27" s="2" t="s">
        <v>760</v>
      </c>
      <c r="C27" s="2" t="s">
        <v>761</v>
      </c>
    </row>
    <row r="28" customFormat="false" ht="15" hidden="false" customHeight="false" outlineLevel="0" collapsed="false">
      <c r="A28" s="2" t="s">
        <v>762</v>
      </c>
      <c r="B28" s="2" t="s">
        <v>763</v>
      </c>
      <c r="C28" s="2" t="s">
        <v>764</v>
      </c>
    </row>
    <row r="29" customFormat="false" ht="15" hidden="false" customHeight="false" outlineLevel="0" collapsed="false">
      <c r="A29" s="2" t="s">
        <v>765</v>
      </c>
      <c r="B29" s="2" t="s">
        <v>766</v>
      </c>
      <c r="C29" s="2" t="s">
        <v>767</v>
      </c>
    </row>
    <row r="30" customFormat="false" ht="15" hidden="false" customHeight="false" outlineLevel="0" collapsed="false">
      <c r="A30" s="2" t="s">
        <v>768</v>
      </c>
      <c r="B30" s="2" t="s">
        <v>769</v>
      </c>
      <c r="C30" s="2" t="s">
        <v>770</v>
      </c>
    </row>
    <row r="31" customFormat="false" ht="15" hidden="false" customHeight="false" outlineLevel="0" collapsed="false">
      <c r="A31" s="2" t="s">
        <v>771</v>
      </c>
      <c r="B31" s="2" t="s">
        <v>772</v>
      </c>
      <c r="C31" s="2" t="s">
        <v>773</v>
      </c>
    </row>
    <row r="32" customFormat="false" ht="15" hidden="false" customHeight="false" outlineLevel="0" collapsed="false">
      <c r="A32" s="2" t="s">
        <v>774</v>
      </c>
      <c r="B32" s="2" t="s">
        <v>775</v>
      </c>
      <c r="C32" s="2" t="s">
        <v>776</v>
      </c>
    </row>
    <row r="33" customFormat="false" ht="15" hidden="false" customHeight="false" outlineLevel="0" collapsed="false">
      <c r="A33" s="2" t="s">
        <v>777</v>
      </c>
      <c r="B33" s="2" t="s">
        <v>778</v>
      </c>
      <c r="C33" s="2" t="s">
        <v>779</v>
      </c>
    </row>
    <row r="34" customFormat="false" ht="15" hidden="false" customHeight="false" outlineLevel="0" collapsed="false">
      <c r="A34" s="2" t="s">
        <v>108</v>
      </c>
      <c r="B34" s="2" t="s">
        <v>780</v>
      </c>
      <c r="C34" s="2" t="s">
        <v>781</v>
      </c>
    </row>
    <row r="35" customFormat="false" ht="15" hidden="false" customHeight="false" outlineLevel="0" collapsed="false">
      <c r="A35" s="2" t="s">
        <v>40</v>
      </c>
      <c r="B35" s="2" t="s">
        <v>782</v>
      </c>
      <c r="C35" s="2" t="s">
        <v>783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2026-09-23T02:01:46Z</dcterms:created>
  <dc:creator>openpyxl</dc:creator>
  <dc:description/>
  <dc:language>en-US</dc:language>
  <cp:lastModifiedBy/>
  <dcterms:modified xsi:type="dcterms:W3CDTF">2026-09-23T02:01:46Z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